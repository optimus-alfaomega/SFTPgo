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mac/Library/Mobile Documents/com~apple~CloudDocs/Documents/UniAndes/"/>
    </mc:Choice>
  </mc:AlternateContent>
  <xr:revisionPtr revIDLastSave="0" documentId="13_ncr:1_{D9DB9A95-73E0-CE43-9FA5-EEC0AAFF7EBF}" xr6:coauthVersionLast="47" xr6:coauthVersionMax="47" xr10:uidLastSave="{00000000-0000-0000-0000-000000000000}"/>
  <bookViews>
    <workbookView xWindow="28800" yWindow="-2780" windowWidth="51200" windowHeight="21600" activeTab="4" xr2:uid="{40D89E88-621A-314C-8994-FF58CB0D2418}"/>
  </bookViews>
  <sheets>
    <sheet name="Comentarios clave" sheetId="5" r:id="rId1"/>
    <sheet name="Contenido de los nuevos servici" sheetId="1" r:id="rId2"/>
    <sheet name="Encuesta 1Fight Gabor - Granger" sheetId="6" r:id="rId3"/>
    <sheet name="Encuesta 2 kickTrack Gabor" sheetId="3" r:id="rId4"/>
    <sheet name="Encuesta 3  Van Westedorp" sheetId="4" r:id="rId5"/>
    <sheet name="Resumen" sheetId="7" state="hidden" r:id="rId6"/>
  </sheets>
  <definedNames>
    <definedName name="_xlnm._FilterDatabase" localSheetId="0" hidden="1">'Comentarios clave'!$A$1:$C$52</definedName>
    <definedName name="_xlchart.v1.0" hidden="1">'Encuesta 2 kickTrack Gabor'!$B$8</definedName>
    <definedName name="_xlchart.v1.1" hidden="1">'Encuesta 2 kickTrack Gabor'!$B$9:$B$60</definedName>
    <definedName name="_xlchart.v1.2" hidden="1">'Encuesta 2 kickTrack Gabor'!$E$8</definedName>
    <definedName name="_xlchart.v1.3" hidden="1">'Encuesta 2 kickTrack Gabor'!$E$9:$E$60</definedName>
    <definedName name="_xlchart.v1.4" hidden="1">'Encuesta 2 kickTrack Gabor'!$B$8</definedName>
    <definedName name="_xlchart.v1.5" hidden="1">'Encuesta 2 kickTrack Gabor'!$B$9:$B$60</definedName>
    <definedName name="_xlchart.v1.6" hidden="1">'Encuesta 2 kickTrack Gabor'!$E$8</definedName>
    <definedName name="_xlchart.v1.7" hidden="1">'Encuesta 2 kickTrack Gabor'!$E$9:$E$60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6" l="1"/>
  <c r="G10" i="6"/>
  <c r="N28" i="6"/>
  <c r="G9" i="6"/>
  <c r="N27" i="6"/>
  <c r="G8" i="6"/>
  <c r="N26" i="6"/>
  <c r="G7" i="6"/>
  <c r="N25" i="6"/>
  <c r="G6" i="6"/>
  <c r="N24" i="6"/>
  <c r="G5" i="6"/>
  <c r="H29" i="6"/>
  <c r="E10" i="6"/>
  <c r="H28" i="6"/>
  <c r="E9" i="6"/>
  <c r="H27" i="6"/>
  <c r="E8" i="6"/>
  <c r="H26" i="6"/>
  <c r="E7" i="6"/>
  <c r="H25" i="6"/>
  <c r="E6" i="6"/>
  <c r="H24" i="6"/>
  <c r="E5" i="6"/>
  <c r="D29" i="6"/>
  <c r="C10" i="6"/>
  <c r="D28" i="6"/>
  <c r="C9" i="6"/>
  <c r="D27" i="6"/>
  <c r="C8" i="6"/>
  <c r="D26" i="6"/>
  <c r="C7" i="6"/>
  <c r="D25" i="6"/>
  <c r="C6" i="6"/>
  <c r="D24" i="6"/>
  <c r="C5" i="6"/>
</calcChain>
</file>

<file path=xl/sharedStrings.xml><?xml version="1.0" encoding="utf-8"?>
<sst xmlns="http://schemas.openxmlformats.org/spreadsheetml/2006/main" count="349" uniqueCount="219">
  <si>
    <t>Starter pack</t>
  </si>
  <si>
    <t>Trackers + Bag</t>
  </si>
  <si>
    <t>Essential</t>
  </si>
  <si>
    <t>The works</t>
  </si>
  <si>
    <t>Full</t>
  </si>
  <si>
    <t>The all in one</t>
  </si>
  <si>
    <t>price</t>
  </si>
  <si>
    <t>incluye</t>
  </si>
  <si>
    <t>Trackers, Quick Wraps, Boxing Bag</t>
  </si>
  <si>
    <t>1 Guantes de boxeo, Bag ring, Trackers, Quick wraps, Boxing Bag, Put it on tv bundle</t>
  </si>
  <si>
    <t>2 Guantes de boxeo, Bag ring, Trackers,2 Quick wraps, Boxing Bag, Put it on tv bundle, 12 meses de membresia, premium fllooring</t>
  </si>
  <si>
    <t>Funcionalidades nuevas</t>
  </si>
  <si>
    <t>Retroalimentación instantanea</t>
  </si>
  <si>
    <t>Reconocimiento y motivación de la comunidad</t>
  </si>
  <si>
    <t>Integración sin problemas con el programa de entrenamiento</t>
  </si>
  <si>
    <t>Entrenamiento en tiempo real</t>
  </si>
  <si>
    <t>Factores de valor</t>
  </si>
  <si>
    <t>Feedback instantaneo se enriquece con multiples variables relevantes</t>
  </si>
  <si>
    <t>sesiones de entrenamiento remoto premium</t>
  </si>
  <si>
    <t>refuerza el progreso mas alla del cansancio fisico</t>
  </si>
  <si>
    <t>nuevo dimensionamiento en el establecimiento de metas a nivel comunidad</t>
  </si>
  <si>
    <t>Segmentos de mercado</t>
  </si>
  <si>
    <t>Entusiastas tecnologicamente avanzados</t>
  </si>
  <si>
    <t>principiantes en boxeo y kickboxing</t>
  </si>
  <si>
    <t>Buscadores de retos</t>
  </si>
  <si>
    <t>apasionados del fitness</t>
  </si>
  <si>
    <t xml:space="preserve">entrenadores de boxeo y kickboxing </t>
  </si>
  <si>
    <t>Categoria</t>
  </si>
  <si>
    <t>Deligter</t>
  </si>
  <si>
    <t>game changer</t>
  </si>
  <si>
    <t>Nice to have</t>
  </si>
  <si>
    <t>Game Changer</t>
  </si>
  <si>
    <t>valor</t>
  </si>
  <si>
    <t>valores agregados</t>
  </si>
  <si>
    <t xml:space="preserve">la comunidad </t>
  </si>
  <si>
    <t>el desafio grupal</t>
  </si>
  <si>
    <t>comunidad de entrenadores profesionales</t>
  </si>
  <si>
    <t>Nuevo producto kicktrack</t>
  </si>
  <si>
    <t>Mayor precision en seguimiento goles</t>
  </si>
  <si>
    <t>Entrenadores</t>
  </si>
  <si>
    <t>KickTrack</t>
  </si>
  <si>
    <t>Del 01/02/2024 al 31/03/2024</t>
  </si>
  <si>
    <t>Usuarios</t>
  </si>
  <si>
    <t>Usuarios Potenciales</t>
  </si>
  <si>
    <t>Respuestas</t>
  </si>
  <si>
    <t>Entrevistados invitados</t>
  </si>
  <si>
    <t>Antes estaba dividido asi:</t>
  </si>
  <si>
    <t>usuarios existentes</t>
  </si>
  <si>
    <t>definidiso como aquellos con una suscripción de más de 1 año.</t>
  </si>
  <si>
    <t>Usuarios potenciales</t>
  </si>
  <si>
    <t xml:space="preserve">Definidos como aquellos identificados por el equipo de marketing </t>
  </si>
  <si>
    <t>definidos como entrenadores y profesionales de boxeo, kickboxing y muay thai con academias o escuales de 10 estudiantes y menos de 1000, para excluir clubes y segmentos deportivos</t>
  </si>
  <si>
    <t>Encuesta 1</t>
  </si>
  <si>
    <t>Encuesta 02</t>
  </si>
  <si>
    <t>Precios en $</t>
  </si>
  <si>
    <t>Potenciales usuarios</t>
  </si>
  <si>
    <t>Entrevistados</t>
  </si>
  <si>
    <t>NOTA 1: La encuesta se realizó basado en los rangos de precios fijados por el equipo de FightCamp.</t>
  </si>
  <si>
    <t>NOTA 2: El test de muestreo que ejecutamos antes de las encuestas recomendó dividir los segmentos en</t>
  </si>
  <si>
    <t xml:space="preserve"> 3: Usuarios existentes, definidos como aquellos con una suscripción de más de 1 año;</t>
  </si>
  <si>
    <t xml:space="preserve"> Usuarios potenciales, definidos como aquellos identificados por nuestro equipo de marketing; y Entrenadores, definidos como entrenadores y profesionales de boxeo, kickboxing y muay thai con academias o escuelas de más de 10 estudiantes y menos de 1000, para excluir clubes y segmentos corporativos.</t>
  </si>
  <si>
    <t>1. ¿A qué precio considerarías que una suscripción mensual a KickTrack® tiene un precio tan bajo que sientes que la calidad no puede ser muy buena</t>
  </si>
  <si>
    <t>2. ¿A qué precio considerarías que una suscripción mensual a KickTrack® es una excelente compra por el dinero?</t>
  </si>
  <si>
    <t>3. ¿A qué precio considerarías que una suscripción mensual a KickTrack® comienza a ser cara?</t>
  </si>
  <si>
    <t>4. ¿A qué precio considerarías que una suscripción mensual a KickTrack® es tan cara que no considerarías comprarlo?</t>
  </si>
  <si>
    <t>Precios</t>
  </si>
  <si>
    <t>Pregunta 1</t>
  </si>
  <si>
    <t>Pregunta 2</t>
  </si>
  <si>
    <t>Pregunta 3</t>
  </si>
  <si>
    <t>Pregunta 4</t>
  </si>
  <si>
    <t>Total</t>
  </si>
  <si>
    <t>Entrevistados que respondieron</t>
  </si>
  <si>
    <t>TÍTULO</t>
  </si>
  <si>
    <t>CATEGORÍA</t>
  </si>
  <si>
    <t>RESPUESTA</t>
  </si>
  <si>
    <t>¡A volver a la rutina!</t>
  </si>
  <si>
    <t>Usuario</t>
  </si>
  <si>
    <t>Acabo de retomar el ejercicio. Compré el equipo y la suscripción a FightCamp hace unos años. Lo dejé y acabo de volver a empezar, ¡olvidé cuánto lo extrañaba! ¡Estoy muy agradecido por este increíble entrenamiento, y los sigo a diario por novedades de contenido y nuevas funciones</t>
  </si>
  <si>
    <t>Increible</t>
  </si>
  <si>
    <t>FightCamp ha cambiado completamente mi forma de ver el ejercicio. Los entrenamientos son desafiantes pero gratificantes. Me encanta la variedad de opciones y la calidad de los instructores. Definitivamente recomendaría este programa a cualquiera que busque mejorar su estado físico.</t>
  </si>
  <si>
    <t>Tiene potencial</t>
  </si>
  <si>
    <t>Nuevo Usuario</t>
  </si>
  <si>
    <t>FightCamp tiene potencial, pero tiene deficiencias significativas. Aunque los entrenamientos son desafiantes, me decepcionó descubrir que los rastreadores de golpes a menudo no registran correctamente la intensidad de mis golpes. Además, la sincronización entre el equipo y la aplicación es irregular, lo que dificulta el seguimiento preciso del progreso. En general, es una opción decente, pero necesita mejoras importantes.</t>
  </si>
  <si>
    <t>Podría ser mejor</t>
  </si>
  <si>
    <t>FightCamp tiene sus pros y sus contras. Si bien los entrenamientos básicos son efectivos, he encontrado limitaciones en cuanto a las capacidades de entrenamiento avanzadas, especialmente para aquellos que buscan trabajar con entrenadores profesionales de boxeo y kickboxing. Sería genial ver una mayor integración de funciones específicas para estos usuarios.</t>
  </si>
  <si>
    <t>Impresionada</t>
  </si>
  <si>
    <t>¡Totalmente impresionada! Después de usar FightCamp durante solo unas semanas, puedo decir que es el mejor programa de entrenamiento en casa que he probado. Los entrenamientos son desafiantes pero divertidos, y la aplicación es fácil de usar. Además, el equipo es de alta calidad y duradero. ¡Altamente recomendado!</t>
  </si>
  <si>
    <t>En prueba</t>
  </si>
  <si>
    <t>Entrenador</t>
  </si>
  <si>
    <t>Lo hemos tenido instalado en nuestro gimnasio durante una semana pero todos lo hemos probado y ha sido genial. Mi socios dudaba de que funcionara bien pero sabemos que es una oportunidad para nuevos alumnos que saben que requieren más seguimiento. Estamos pendientes de mejoras!.</t>
  </si>
  <si>
    <t>No es profesional</t>
  </si>
  <si>
    <t>¡Una verdadera decepción! Después de invertir en FightCamp, esperaba una experiencia de entrenamiento fluida y efectiva. Sin embargo, he tenido problemas constantes con la configuración del equipo y la sincronización con la aplicación. Además, los rastreadores de golpes son poco fiables y a menudo no registran adecuadamente la intensidad de mis golpes. ¡No recomendaría este producto a entrenadores profesionales!</t>
  </si>
  <si>
    <t>Lo tuve que devolver</t>
  </si>
  <si>
    <t>FightCamp no cumple con las expectativas de aquellos que buscan entrenamiento profesional de kickboxing. Yo quiero elevar mi entrenamiento al siguiente nivel, lo que use es muy simple</t>
  </si>
  <si>
    <t>Excelente</t>
  </si>
  <si>
    <t>Amo FightCamp. Los entrenamientos son increíbles. Los entrenadores me mantienen motivado. Los he estado usando durante más de dos años y nunca he encontrado un entrenamiento que me guste mas ni me haga perder peso tan rápidamente.</t>
  </si>
  <si>
    <t>Muy buena experiencia</t>
  </si>
  <si>
    <t>Amo cada minuto de ello. He usado este programa durante más de 3 años y he amado cada minuto.Después de todo este tiempo, todavía es desafiante, en parte porque FightCamp sigue desarrollando nuevos programas, incluyendo entrenamiento de fuerza, tonificación de abdominales, nutrición y más.</t>
  </si>
  <si>
    <t>Fantástico</t>
  </si>
  <si>
    <t>¡Un producto fantástico! Solo he tenido FightCamp durante una semana, ¡pero hasta ahora me encanta!...</t>
  </si>
  <si>
    <t>Quiero mas</t>
  </si>
  <si>
    <t>Realmente amo FightCamp. Soy un poco tímido, así que ir a un gimnasio de boxeo era un poco intimidante para mí. ¡Es genial poder hacer estos entrenamientos de cuerpo completo desde mi casa!...pero quisiera poder ver mas información mas detallada de mi entrenamiento y hacer el seguimiento más a fondo</t>
  </si>
  <si>
    <t>Lo mejor</t>
  </si>
  <si>
    <t>¡FightCamp es lo mejor que he hecho por mi salud en mucho tiempo!...</t>
  </si>
  <si>
    <t>La renovación que necesitaba</t>
  </si>
  <si>
    <t>La renovación que necesitaba. Durante las últimas 6 semanas he estado luchando contra problemas de salud graves... Visitas al hospital y hospitalización, dolor tan severo que me costaba caminar o pasaba horas enroscado en una bola, privación del sueño, deshidratación y una pérdida de peso significativa.</t>
  </si>
  <si>
    <t>Fantástico pero…</t>
  </si>
  <si>
    <t>No podría imaginar estar sin FightCamp en este momento. FightCamp realmente ha sido un cambio de vida…</t>
  </si>
  <si>
    <t>Desafiante y divertido</t>
  </si>
  <si>
    <t>Desafiante y divertido. No solo es una forma divertida y desafiante de mantenerse en forma, sino que aprender a boxear me ha dado un nuevo respeto por aquellos en artes marciales competitivas. Me hace sentir mas cerca a la comunidad de FightCampers</t>
  </si>
  <si>
    <t>Frustrante</t>
  </si>
  <si>
    <t>¡Una experiencia frustrante! Lamentablemente, mi experiencia con FightCamp ha sido una serie de problemas desde el principio. Los rastreadores de golpes no registran con precisión la fuerza de mis golpes, lo que afecta la precisión de los datos de seguimiento. Además, he tenido problemas constantes con la sincronización entre el equipo y la aplicación. ¡No recomendaría este producto a nadie!</t>
  </si>
  <si>
    <t>Decepción</t>
  </si>
  <si>
    <t>¡Una gran decepción para los entusiastas del boxeo y kickboxing! Aunque FightCamp ofrece una amplia variedad de entrenamientos, me ha decepcionado la falta de capacidades avanzadas para trabajar con entrenadores profesionales. La plataforma carece de funciones esenciales que serían útiles para aquellos que desean mejorar sus habilidades bajo la guía de expertos.</t>
  </si>
  <si>
    <t>Ok</t>
  </si>
  <si>
    <t>FightCamp es decente, pero no cumplió completamente mis expectativas. Los entrenamientos son buenos, pero la aplicación podría ser más intuitiva. Además, siento que el precio es un poco alto para lo que ofrece, solo ver el conteo de golpes y el consumo de calorías no me hace sentir que estoy avanzando. En general, es una opción aceptable, pero no sé si renovar mi suscripción.</t>
  </si>
  <si>
    <t>Increíble</t>
  </si>
  <si>
    <t>Increíble. FightCamp ha dado sabor a mi vida de una manera que nunca pensé posible…es conveniente y lo puedo usar en cualquier momento. Quisiera saber si hay algun nivel mas avanzado de entrenamiento en linea</t>
  </si>
  <si>
    <t>Es lo mejor en el mercado pero podría ser aun mejor</t>
  </si>
  <si>
    <t>FightCamp realmente ha sido un cambio de vida. Soy un artista marcial de toda la vida y durante la pandemia no pude visitar gimnasios para boxear o hacer kickboxing. Así que pensé en probar FightCamp y supero mis expectativas al inicio. FightCamp me da la MEJOR experiencia de entrenamiento, pero me gustaría poder ver si he mejorado mis habilidades técnicas como artista marcial. Otra cosa que me gusta mucho de FightCamp es que me ha traído una comunidad de entrenadores y otros luchadores como yo.</t>
  </si>
  <si>
    <t>Es lo mejor</t>
  </si>
  <si>
    <t>FightCamp me ayudó a encontrar confianza en mi cuerpo, así como fuerza, tanto mental como físicamente. He estado usando FightCamp durante casi un año... En enero será un año. Y he estado haciendo este programa a diario desde el desafío en equipo de marzo del año pasado.</t>
  </si>
  <si>
    <t>FightCamp es lo mejor que he hecho por mi salud en mucho tiempo. Llevo unos 6 meses usándolo y no puedo recomendarlo lo suficiente. ¡Los entrenadores son conocedores y motivadores! Los rastreadores hacen que sea muy divertido, aunque es cierto que el team FightCamp podria hacer mas para ayudan a ver tu progreso. Me encanta que la aplicación de FightCamp y los entrenamientos se actualicen constantemente con nuevo contenido de calidad y siempre parecen estar tratando de mejorar aún más.</t>
  </si>
  <si>
    <t>He estado en gimnasios durante años y nunca me he sentido tan fuerte o bien como lo hago haciendo FightCamp. ¡El equipo de FightCamp es increíble y los entrenamientos son desafiantes pero efectivos! ¡No puedo esperar para ver cómo me siento en unos meses más!</t>
  </si>
  <si>
    <t>Amo FightCamp</t>
  </si>
  <si>
    <t>¡Amo FightCamp! Hay tantos entrenamientos disponibles. Y están constantemente agregando nuevos entrenamientos. Lo he tenido durante casi un año y todavía no he completado todos los entrenamientos disponibles. Los entrenadores son increíbles. Tan motivadores y alentadores. Puedo estar muriendo en el entrenamiento, pero sé que he sonreído en cada entrenamiento con algo que ha dicho el entrenador. ¡Amo, amo, amo FightCamp!</t>
  </si>
  <si>
    <t>Era escéptico al principio, pero ya no</t>
  </si>
  <si>
    <t>Al principio tenía mis dudas, pero ya no. Compré el sistema básico (con saco, trackers y envolturas) en oferta y no estaba seguro de si me gustaría. Ahora soy un fan serio. Tengo 56 años y soy un corredor y ciclista bastante serio (Vo2 max de 62). También he estado haciendo entrenamiento de pesas bastante seriamente durante el último año. El sistema de FightCamp es legítimo. Los entrenamientos son tan educativos como físicamente desafiantes. Altamente recomendado.</t>
  </si>
  <si>
    <t>Decepcionado</t>
  </si>
  <si>
    <t>¡Totalmente decepcionado! Después de invertir en el sistema completo de FightCamp, esperaba resultados significativos en mi estado físico. Sin embargo, los entrenamientos resultaron ser aburridos y poco efectivos. La aplicación tiene errores constantes y el servicio al cliente es inútil. ¡No recomendaría este producto a ningún kickboxer profesional !</t>
  </si>
  <si>
    <t>FightCamp tiene sus pros y sus contras. Si bien los entrenamientos son desafiantes y variados, he tenido problemas con la configuración inicial y la sincronización del equipo. Además, los rastreadores de golpes a veces no registran adecuadamente la fuerza de mis golpes, lo que afecta la precisión de mis datos de entrenamiento. En general, es una opción decente si puedes superar las dificultades técnicas.</t>
  </si>
  <si>
    <t>Si bien FightCamp es adecuado para entrenamientos básicos en casa, carece de las capacidades necesarias para trabajar con entrenadores profesionales de boxeo y kickboxing. Aquellos que buscan llevar su entrenamiento al siguiente nivel pueden encontrar que la plataforma no cumple con sus expectativas en términos de funciones avanzadas y personalización.</t>
  </si>
  <si>
    <t>Amo FightCamp. Los entrenamientos son increíbles. Los entrenadores me mantienen motivado. Los he estado usando durante más de dos años y nunca he encontrado un entrenamiento que no me guste. Recientemente perdí mis rastreadores de golpes y el servicio al cliente fue rápido, educado y tenía nuevos rastreadores en mis</t>
  </si>
  <si>
    <t>¡Al fin alguien lo entendió!</t>
  </si>
  <si>
    <t>¡Finalmente alguien lo entendió! Fácil de empezar y motivador. ¡Han descifrado el código del entrenamiento de boxeo en casa!</t>
  </si>
  <si>
    <t>Buena</t>
  </si>
  <si>
    <t>¡Fantástico! Empecé con FightCamp hace unos meses y estoy encantado con los resultados. Los entrenamientos son desafiantes pero divertidos, y he visto una mejora notable en mi fuerza y resistencia. La aplicación es fácil de usar y me motiva a seguir adelante. Definitivamente vale la pena la inversión.</t>
  </si>
  <si>
    <t>Muy Malo</t>
  </si>
  <si>
    <t>¡Una verdadera decepción! Después de invertir en el sistema completo de FightCamp, esperaba una experiencia de entrenamiento como en el gimnasio. Sin embargo, he tenido problemas constantes con la sincronización del equipo. Además, los rastreadores de golpes a menudo no registran correctamente la intensidad de mis golpes, lo que afecta mi experiencia de entrenamiento. ¡No recomendaría este producto en absoluto!</t>
  </si>
  <si>
    <t>FightCamp no es la mejor opción para aquellos que buscan entrenamiento personalizado con entrenadores profesionales de boxeo y kickboxing. La plataforma carece de características clave que serían beneficiosas para este tipo de usuarios, como la capacidad de recibir retroalimentación en tiempo real y la personalización de rutinas según las necesidades individuales.</t>
  </si>
  <si>
    <t>Indecisos</t>
  </si>
  <si>
    <t>Hemos tenido FightCamp instalado en nuestro gimnasio durante un poco más de un año. Tanto mi esposo como yo lo usamos y lo amamos. Es un buen entrenamiento, pero no estamos seguros cómo podríamos incluirlo en el paquete de servicios que brindamos en nuestra escuela de boxeo y kickboxing</t>
  </si>
  <si>
    <t>No me convecio</t>
  </si>
  <si>
    <t>FightCamp es decente, pero esperaba más. Si bien los entrenamientos son efectivos, siento que la variedad es limitada y me aburro fácilmente. La calidad del equipo está bien por lo que pague pero no está a la altura de mi nivel atlético. En general, es una opción aceptable para los novatos o si no tienes acceso a un gimnasio, pero no estoy completamente satisfecho.</t>
  </si>
  <si>
    <t>No es para profesionales</t>
  </si>
  <si>
    <t>FightCamp tiene sus ventajas y desventajas. Si bien los entrenamientos son entretenidos, los rastreadores de golpes no registran la fuerza de mis golpes, lo que afecta mi capacidad para realizar un seguimiento de mi progreso. En general, es una opción decente para mantenerse en forma en casa, pero requiere mejoras técnicas.</t>
  </si>
  <si>
    <t>Aunque FightCamp ofrece una amplia gama de entrenamientos, carece de las características necesarias para aquellos que desean trabajar con entrenadores profesionales de boxeo y kickboxing. La plataforma no proporciona las herramientas adecuadas para la colaboración y la retroalimentación en tiempo real, lo que limita su utilidad para usuarios avanzados.</t>
  </si>
  <si>
    <t>Una pérdida de dinero. Después de usar FightCamp durante varias semanas, no he visto ningún progreso en mi estado físico. Los entrenamientos son monótonos y poco inspiradores, y la aplicación se bloquea constantemente. ¡No lo recomendaría en absoluto en mi gimnasio!</t>
  </si>
  <si>
    <t>¡No recomendaría FightCamp en absoluto! Mi experiencia con este producto ha sido una pesadilla desde el principio. He tenido problemas constantes con la configuración del equipo y la sincronización con la aplicación. Además, los rastreadores de golpes son poco fiables y a menudo no registran correctamente la intensidad de mis golpes. ¡No vale la pena la inversión!</t>
  </si>
  <si>
    <t>¡Una plataforma decepcionante para aquellos que buscan entrenamiento personalizado con entrenadores profesionales! FightCamp carece de las capacidades necesarias para satisfacer las necesidades de usuarios avanzados en el ámbito del boxeo y kickboxing. La falta de funciones como la retroalimentación en tiempo real y la personalización de rutinas es un gran inconveniente.</t>
  </si>
  <si>
    <t>Recomendacion</t>
  </si>
  <si>
    <t>Una gran aplicación. ¡Los entrenamientos son desafiantes, pero está bien porque estoy aquí para luchar! Solo sugeriría una pequeña mejora. Cuando las combinaciones de golpes aparecen en la pantalla, hagan la fuente un poco más grande, ya que siento que es un poco difícil de ver.</t>
  </si>
  <si>
    <t>¡Quemando calorías!</t>
  </si>
  <si>
    <t>¡Increíble experiencia de fitness! Desde que empecé con FightCamp, he visto una mejora significativa en mi fuerza, resistencia y confianza. Los entrenamientos son desafiantes pero gratificantes. Definitivamente continuaré usando este programa en el futuro.</t>
  </si>
  <si>
    <t>No estoy seguro de seguir</t>
  </si>
  <si>
    <t>FightCamp tiene algunas características positivas, pero también tiene sus problemas. Si bien los entrenamientos son desafiantes y variados, mi entrenamiento se ha vuelto monótono. En general, es una opción aceptable, pero necesita mejoras técnicas.</t>
  </si>
  <si>
    <t>FightCamp ofrece una experiencia sólida para los entusiastas del fitness en casa, pero carece de las características necesarias para aquellos que buscan trabajar con entrenadores profesionales de boxeo y kickboxing. La plataforma no proporciona las herramientas adecuadas para la colaboración y la retroalimentación en tiempo real, lo que limita su utilidad para usuarios avanzados.</t>
  </si>
  <si>
    <t>¡Una experiencia frustrante! Lamentablemente, FightCamp no cumplió con mis expectativas.No esta a la altura de mi entrenamiento</t>
  </si>
  <si>
    <t>¡No recomendaría FightCamp para aquellos que buscan entrenamiento avanzado con entrenadores profesionales de boxeo y kickboxing! La plataforma carece de las características esenciales necesarias para satisfacer las necesidades de este grupo de usuarios. La falta de funcionalidades como la retroalimentación en tiempo real y la personalización de rutinas es una gran desventaja.</t>
  </si>
  <si>
    <t>Solo para quemar calorías</t>
  </si>
  <si>
    <t>FightCamp es decente, pero tiene sus fallas. Los entrenamientos son efectivos, pero me gustaría ver más opciones de personalización. Además, la calidad de la tecnología deja mucho que desear; los rastreadores de golpes no registran mis movimientos!!!. En general, es una opción promedio para mantenerse en forma en casa.</t>
  </si>
  <si>
    <t>¡Absolutamente horrible! Después de probar FightCamp durante varias semanas, me siento estafado. Los entrenamientos son aburridos y poco efectivos, y la aplicación es difícil de navegar.</t>
  </si>
  <si>
    <t>FightCamp tiene potencial, pero también tiene sus deficiencias. En general, es una opción decente para quemar calorías, pero necesita mejoras técnicas si quieren atraer a competidores y profesionales del Kicboxing.</t>
  </si>
  <si>
    <t>Si bien FightCamp es adecuado para entrenamientos básicos en casa, no es la mejor opción para aquellos que buscan trabajar con entrenadores profesionales de boxeo y kickboxing. La plataforma carece de las características necesarias para la colaboración y la retroalimentación en tiempo real, lo que limita su utilidad para usuarios avanzados en este ámbito.</t>
  </si>
  <si>
    <t>Usuarios - porcentaje</t>
  </si>
  <si>
    <t>Usuarios potenciales - porcentaje</t>
  </si>
  <si>
    <t xml:space="preserve">Entrenadores -porcentaje </t>
  </si>
  <si>
    <t>precios USD</t>
  </si>
  <si>
    <t>Precio medio</t>
  </si>
  <si>
    <t>Usuarios totales</t>
  </si>
  <si>
    <t xml:space="preserve">Precio </t>
  </si>
  <si>
    <t>65 USD</t>
  </si>
  <si>
    <t>Personas</t>
  </si>
  <si>
    <t>Precio</t>
  </si>
  <si>
    <t>Cantidad</t>
  </si>
  <si>
    <t>Precio USD</t>
  </si>
  <si>
    <t>Usuarios Entrenadores</t>
  </si>
  <si>
    <t>79-89</t>
  </si>
  <si>
    <t xml:space="preserve">Precio más alto </t>
  </si>
  <si>
    <t>Precio minimo</t>
  </si>
  <si>
    <t>Usuarios actuales</t>
  </si>
  <si>
    <t>kickTrack</t>
  </si>
  <si>
    <t>FightGabor</t>
  </si>
  <si>
    <t>Nueva funcionalidad</t>
  </si>
  <si>
    <t>funcionalidad vieja</t>
  </si>
  <si>
    <t xml:space="preserve">Entusiastas Tecnologicamente Avanzados </t>
  </si>
  <si>
    <t>Principiantes en Boxing y Kickboxing</t>
  </si>
  <si>
    <t>Prioridad 1= bajo, 5= Mas alto</t>
  </si>
  <si>
    <t>Apasionados de fitness</t>
  </si>
  <si>
    <t>Entrenadores de Boxeo/ kickboxing</t>
  </si>
  <si>
    <t>Cojoint Analysys</t>
  </si>
  <si>
    <t>x</t>
  </si>
  <si>
    <t>Usuarios Claves</t>
  </si>
  <si>
    <t xml:space="preserve">Usuarios </t>
  </si>
  <si>
    <t>Usuarios que poseen ya FigthGabor</t>
  </si>
  <si>
    <t>KickTRACK</t>
  </si>
  <si>
    <t>El feedback instantáneo se enriquece con múltiples variables relevantes.</t>
  </si>
  <si>
    <t>KickTRACK® abre la posibilidad de sesiones de entrenamiento remoto premium</t>
  </si>
  <si>
    <t>KickTRACK® refuerza el progreso más allá del cansancio físico</t>
  </si>
  <si>
    <t>Una nueva dimensión en el establecimiento de metas a nivel de la comunidad</t>
  </si>
  <si>
    <t>Retroalimentación Instantánea</t>
  </si>
  <si>
    <t>Reconocimiento y Motivación de la Comunidad</t>
  </si>
  <si>
    <t>Integración sin Problemas con el Programa de Entrenamiento</t>
  </si>
  <si>
    <t>Entrenamiento en Tiempo Real:</t>
  </si>
  <si>
    <t>valores propuestas</t>
  </si>
  <si>
    <t>49$</t>
  </si>
  <si>
    <t>75$</t>
  </si>
  <si>
    <t>Comunicate con un asesor</t>
  </si>
  <si>
    <t>kickTRACK</t>
  </si>
  <si>
    <t>servicios</t>
  </si>
  <si>
    <t>Amateur</t>
  </si>
  <si>
    <t>Professional</t>
  </si>
  <si>
    <t>Rockie</t>
  </si>
  <si>
    <t>Servicios</t>
  </si>
  <si>
    <t>65$</t>
  </si>
  <si>
    <t>Servicios Fitness</t>
  </si>
  <si>
    <t>Entrenamiento de complejidad media para quienes ya han superado un nivel de dificultad amateur</t>
  </si>
  <si>
    <t>Niveles de dificultad</t>
  </si>
  <si>
    <t>Progreso calorico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</si>
</sst>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3" x14ac:knownFonts="1">
    <font>
      <sz val="12"/>
      <color theme="1"/>
      <name val="Aptos Narrow"/>
      <family val="2"/>
      <scheme val="minor"/>
    </font>
    <font>
      <sz val="12"/>
      <color theme="0"/>
      <name val="Aptos Narrow"/>
      <family val="2"/>
      <scheme val="minor"/>
    </font>
    <font>
      <sz val="11"/>
      <color theme="1"/>
      <name val="Arial"/>
      <family val="2"/>
    </font>
    <font>
      <sz val="10"/>
      <color theme="1"/>
      <name val="Arial"/>
      <family val="2"/>
    </font>
    <font>
      <b/>
      <sz val="10"/>
      <color rgb="FF000000"/>
      <name val="Arial"/>
      <family val="2"/>
    </font>
    <font>
      <sz val="10"/>
      <color theme="1"/>
      <name val="Courier New"/>
      <family val="1"/>
    </font>
    <font>
      <b/>
      <sz val="10"/>
      <color theme="1"/>
      <name val="Arial"/>
      <family val="2"/>
    </font>
    <font>
      <b/>
      <sz val="10"/>
      <color rgb="FFFFFFFF"/>
      <name val="Arial"/>
      <family val="2"/>
    </font>
    <font>
      <b/>
      <sz val="8"/>
      <color rgb="FFFFFFFF"/>
      <name val="Arial"/>
      <family val="2"/>
    </font>
    <font>
      <sz val="8"/>
      <color theme="1"/>
      <name val="Arial"/>
      <family val="2"/>
    </font>
    <font>
      <sz val="12"/>
      <color rgb="FF000000"/>
      <name val="Aptos Narrow"/>
      <family val="2"/>
      <scheme val="minor"/>
    </font>
    <font>
      <sz val="10"/>
      <color rgb="FF000000"/>
      <name val="Arial"/>
      <family val="2"/>
    </font>
    <font>
      <b/>
      <i/>
      <sz val="12"/>
      <color theme="1"/>
      <name val="Aptos Narrow"/>
      <scheme val="minor"/>
    </font>
  </fonts>
  <fills count="6">
    <fill>
      <patternFill patternType="none"/>
    </fill>
    <fill>
      <patternFill patternType="gray125"/>
    </fill>
    <fill>
      <patternFill patternType="solid">
        <fgColor rgb="FFF3F3F3"/>
        <bgColor indexed="64"/>
      </patternFill>
    </fill>
    <fill>
      <patternFill patternType="solid">
        <fgColor rgb="FF000000"/>
        <bgColor indexed="64"/>
      </patternFill>
    </fill>
    <fill>
      <patternFill patternType="solid">
        <fgColor theme="1"/>
        <bgColor indexed="64"/>
      </patternFill>
    </fill>
    <fill>
      <patternFill patternType="solid">
        <fgColor rgb="FFF3F3F3"/>
        <bgColor rgb="FF000000"/>
      </patternFill>
    </fill>
  </fills>
  <borders count="19">
    <border>
      <left/>
      <right/>
      <top/>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right style="medium">
        <color rgb="FFCCCCCC"/>
      </right>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D9D9D9"/>
      </left>
      <right style="medium">
        <color rgb="FFD9D9D9"/>
      </right>
      <top style="medium">
        <color rgb="FFD9D9D9"/>
      </top>
      <bottom style="medium">
        <color rgb="FFD9D9D9"/>
      </bottom>
      <diagonal/>
    </border>
    <border>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right style="medium">
        <color rgb="FFD9D9D9"/>
      </right>
      <top/>
      <bottom style="medium">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6" fontId="0" fillId="0" borderId="0" xfId="0" applyNumberFormat="1"/>
    <xf numFmtId="0" fontId="3" fillId="0" borderId="1" xfId="0" applyFont="1" applyBorder="1" applyAlignment="1">
      <alignment horizontal="center" vertical="center" wrapText="1"/>
    </xf>
    <xf numFmtId="0" fontId="3" fillId="0" borderId="2" xfId="0" applyFont="1" applyBorder="1" applyAlignment="1">
      <alignment horizontal="right" vertical="center" wrapText="1"/>
    </xf>
    <xf numFmtId="0" fontId="3" fillId="0" borderId="3" xfId="0" applyFont="1" applyBorder="1" applyAlignment="1">
      <alignment horizontal="center" vertical="center" wrapText="1"/>
    </xf>
    <xf numFmtId="0" fontId="3" fillId="0" borderId="4" xfId="0" applyFont="1" applyBorder="1" applyAlignment="1">
      <alignment horizontal="right" vertical="center" wrapText="1"/>
    </xf>
    <xf numFmtId="0" fontId="4" fillId="2" borderId="1" xfId="0" applyFont="1" applyFill="1" applyBorder="1" applyAlignment="1">
      <alignment horizontal="right" vertical="center" wrapText="1"/>
    </xf>
    <xf numFmtId="0" fontId="4" fillId="2" borderId="2" xfId="0" applyFont="1" applyFill="1" applyBorder="1" applyAlignment="1">
      <alignment horizontal="right" vertical="center" wrapText="1"/>
    </xf>
    <xf numFmtId="0" fontId="3" fillId="0" borderId="0" xfId="0" applyFont="1" applyFill="1" applyBorder="1" applyAlignment="1">
      <alignment horizontal="right" vertical="center" wrapText="1"/>
    </xf>
    <xf numFmtId="0" fontId="5" fillId="0" borderId="0" xfId="0" applyFont="1" applyAlignment="1">
      <alignment vertical="center"/>
    </xf>
    <xf numFmtId="0" fontId="5" fillId="0" borderId="0" xfId="0" applyFont="1"/>
    <xf numFmtId="0" fontId="6" fillId="0" borderId="0" xfId="0" applyFont="1"/>
    <xf numFmtId="0" fontId="2" fillId="0" borderId="0" xfId="0" applyFont="1" applyAlignment="1">
      <alignment horizontal="left" vertical="center" indent="1"/>
    </xf>
    <xf numFmtId="0" fontId="7" fillId="3" borderId="5" xfId="0" applyFont="1" applyFill="1" applyBorder="1" applyAlignment="1">
      <alignment vertical="center" wrapText="1"/>
    </xf>
    <xf numFmtId="0" fontId="7" fillId="3" borderId="6" xfId="0" applyFont="1" applyFill="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horizontal="right" vertical="center" wrapText="1"/>
    </xf>
    <xf numFmtId="0" fontId="7" fillId="3" borderId="6" xfId="0" applyFont="1" applyFill="1" applyBorder="1" applyAlignment="1">
      <alignment horizontal="right" vertical="center" wrapText="1"/>
    </xf>
    <xf numFmtId="0" fontId="6" fillId="0" borderId="7" xfId="0" applyFont="1" applyBorder="1" applyAlignment="1">
      <alignment vertical="center" wrapText="1"/>
    </xf>
    <xf numFmtId="0" fontId="3" fillId="0" borderId="8" xfId="0" applyFont="1" applyBorder="1" applyAlignment="1">
      <alignment vertical="center" wrapText="1"/>
    </xf>
    <xf numFmtId="0" fontId="6" fillId="0" borderId="8" xfId="0" applyFont="1" applyBorder="1" applyAlignment="1">
      <alignment horizontal="right" vertical="center" wrapText="1"/>
    </xf>
    <xf numFmtId="0" fontId="3" fillId="0" borderId="9" xfId="0" applyFont="1" applyBorder="1" applyAlignment="1">
      <alignment vertical="center" wrapText="1"/>
    </xf>
    <xf numFmtId="0" fontId="6" fillId="0" borderId="9" xfId="0" applyFont="1" applyBorder="1" applyAlignment="1">
      <alignment horizontal="right" vertical="center" wrapText="1"/>
    </xf>
    <xf numFmtId="0" fontId="6" fillId="0" borderId="10" xfId="0" applyFont="1" applyBorder="1" applyAlignment="1">
      <alignment vertical="center" wrapTex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8" fillId="3" borderId="14" xfId="0" applyFont="1" applyFill="1" applyBorder="1" applyAlignment="1">
      <alignment vertical="center" wrapText="1"/>
    </xf>
    <xf numFmtId="0" fontId="8" fillId="3" borderId="15" xfId="0" applyFont="1" applyFill="1" applyBorder="1" applyAlignment="1">
      <alignment vertical="center" wrapText="1"/>
    </xf>
    <xf numFmtId="0" fontId="9" fillId="0" borderId="14" xfId="0" applyFont="1" applyBorder="1" applyAlignment="1">
      <alignment vertical="center" wrapText="1"/>
    </xf>
    <xf numFmtId="0" fontId="9" fillId="0" borderId="15" xfId="0" applyFont="1" applyBorder="1" applyAlignment="1">
      <alignment vertical="center" wrapText="1"/>
    </xf>
    <xf numFmtId="0" fontId="9" fillId="0" borderId="16" xfId="0" applyFont="1" applyBorder="1" applyAlignment="1">
      <alignment vertical="center" wrapText="1"/>
    </xf>
    <xf numFmtId="0" fontId="9" fillId="0" borderId="17" xfId="0" applyFont="1" applyBorder="1" applyAlignment="1">
      <alignment vertical="center" wrapText="1"/>
    </xf>
    <xf numFmtId="0" fontId="2" fillId="0" borderId="0" xfId="0" applyFont="1" applyAlignment="1">
      <alignment vertical="center"/>
    </xf>
    <xf numFmtId="0" fontId="1" fillId="4" borderId="0" xfId="0" applyFont="1" applyFill="1"/>
    <xf numFmtId="0" fontId="4" fillId="2" borderId="0" xfId="0" applyFont="1" applyFill="1" applyBorder="1" applyAlignment="1">
      <alignment horizontal="right" vertical="center" wrapText="1"/>
    </xf>
    <xf numFmtId="0" fontId="10" fillId="0" borderId="0" xfId="0" applyFont="1"/>
    <xf numFmtId="0" fontId="4" fillId="5" borderId="0" xfId="0" applyFont="1" applyFill="1" applyAlignment="1">
      <alignment horizontal="right" vertical="center" wrapText="1"/>
    </xf>
    <xf numFmtId="0" fontId="11" fillId="0" borderId="0" xfId="0" applyFont="1" applyAlignment="1">
      <alignment horizontal="right" vertical="center" wrapText="1"/>
    </xf>
    <xf numFmtId="0" fontId="0" fillId="0" borderId="18" xfId="0" applyBorder="1" applyAlignment="1">
      <alignment wrapText="1"/>
    </xf>
    <xf numFmtId="0" fontId="0" fillId="0" borderId="18" xfId="0" applyBorder="1"/>
    <xf numFmtId="0" fontId="12" fillId="0" borderId="18" xfId="0" applyFont="1" applyBorder="1" applyAlignment="1">
      <alignment wrapText="1"/>
    </xf>
    <xf numFmtId="0" fontId="12" fillId="0" borderId="1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1Fight Gabor - Granger'!$E$23</c:f>
              <c:strCache>
                <c:ptCount val="1"/>
                <c:pt idx="0">
                  <c:v>precios USD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'Encuesta 1Fight Gabor - Granger'!$D$24:$D$29</c:f>
              <c:numCache>
                <c:formatCode>General</c:formatCode>
                <c:ptCount val="6"/>
                <c:pt idx="0">
                  <c:v>66.633565044687188</c:v>
                </c:pt>
                <c:pt idx="1">
                  <c:v>19.894074809665675</c:v>
                </c:pt>
                <c:pt idx="2">
                  <c:v>10.493214167494207</c:v>
                </c:pt>
                <c:pt idx="3">
                  <c:v>2.0854021847070507</c:v>
                </c:pt>
                <c:pt idx="4">
                  <c:v>0.49652432969215493</c:v>
                </c:pt>
                <c:pt idx="5">
                  <c:v>0.39721946375372391</c:v>
                </c:pt>
              </c:numCache>
            </c:numRef>
          </c:xVal>
          <c:yVal>
            <c:numRef>
              <c:f>'Encuesta 1Fight Gabor - Granger'!$E$24:$E$29</c:f>
              <c:numCache>
                <c:formatCode>General</c:formatCode>
                <c:ptCount val="6"/>
                <c:pt idx="0">
                  <c:v>49</c:v>
                </c:pt>
                <c:pt idx="1">
                  <c:v>59</c:v>
                </c:pt>
                <c:pt idx="2">
                  <c:v>69</c:v>
                </c:pt>
                <c:pt idx="3">
                  <c:v>79</c:v>
                </c:pt>
                <c:pt idx="4">
                  <c:v>89</c:v>
                </c:pt>
                <c:pt idx="5">
                  <c:v>99</c:v>
                </c:pt>
              </c:numCache>
            </c:numRef>
          </c:yVal>
          <c:smooth val="0"/>
          <c:extLst>
            <c:ext xmlns:c16="http://schemas.microsoft.com/office/drawing/2014/chart" uri="{C3380CC4-5D6E-409C-BE32-E72D297353CC}">
              <c16:uniqueId val="{00000000-ADB9-3D49-BD96-285A711D6916}"/>
            </c:ext>
          </c:extLst>
        </c:ser>
        <c:dLbls>
          <c:showLegendKey val="0"/>
          <c:showVal val="0"/>
          <c:showCatName val="0"/>
          <c:showSerName val="0"/>
          <c:showPercent val="0"/>
          <c:showBubbleSize val="0"/>
        </c:dLbls>
        <c:axId val="896907472"/>
        <c:axId val="896778848"/>
      </c:scatterChart>
      <c:valAx>
        <c:axId val="89690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6778848"/>
        <c:crosses val="autoZero"/>
        <c:crossBetween val="midCat"/>
      </c:valAx>
      <c:valAx>
        <c:axId val="8967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69074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1Fight Gabor - Granger'!$I$23</c:f>
              <c:strCache>
                <c:ptCount val="1"/>
                <c:pt idx="0">
                  <c:v>precios USD</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'Encuesta 1Fight Gabor - Granger'!$H$24:$H$29</c:f>
              <c:numCache>
                <c:formatCode>General</c:formatCode>
                <c:ptCount val="6"/>
                <c:pt idx="0">
                  <c:v>53.328050713153722</c:v>
                </c:pt>
                <c:pt idx="1">
                  <c:v>27.020602218700475</c:v>
                </c:pt>
                <c:pt idx="2">
                  <c:v>17.194928684627577</c:v>
                </c:pt>
                <c:pt idx="3">
                  <c:v>1.2678288431061806</c:v>
                </c:pt>
                <c:pt idx="4">
                  <c:v>0.95087163232963545</c:v>
                </c:pt>
                <c:pt idx="5">
                  <c:v>0.23771790808240886</c:v>
                </c:pt>
              </c:numCache>
            </c:numRef>
          </c:xVal>
          <c:yVal>
            <c:numRef>
              <c:f>'Encuesta 1Fight Gabor - Granger'!$I$24:$I$29</c:f>
              <c:numCache>
                <c:formatCode>General</c:formatCode>
                <c:ptCount val="6"/>
                <c:pt idx="0">
                  <c:v>49</c:v>
                </c:pt>
                <c:pt idx="1">
                  <c:v>59</c:v>
                </c:pt>
                <c:pt idx="2">
                  <c:v>69</c:v>
                </c:pt>
                <c:pt idx="3">
                  <c:v>79</c:v>
                </c:pt>
                <c:pt idx="4">
                  <c:v>89</c:v>
                </c:pt>
                <c:pt idx="5">
                  <c:v>99</c:v>
                </c:pt>
              </c:numCache>
            </c:numRef>
          </c:yVal>
          <c:smooth val="0"/>
          <c:extLst>
            <c:ext xmlns:c16="http://schemas.microsoft.com/office/drawing/2014/chart" uri="{C3380CC4-5D6E-409C-BE32-E72D297353CC}">
              <c16:uniqueId val="{00000000-78DB-DF48-BC46-F41E18748472}"/>
            </c:ext>
          </c:extLst>
        </c:ser>
        <c:dLbls>
          <c:showLegendKey val="0"/>
          <c:showVal val="0"/>
          <c:showCatName val="0"/>
          <c:showSerName val="0"/>
          <c:showPercent val="0"/>
          <c:showBubbleSize val="0"/>
        </c:dLbls>
        <c:axId val="553703776"/>
        <c:axId val="553705488"/>
      </c:scatterChart>
      <c:valAx>
        <c:axId val="553703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53705488"/>
        <c:crosses val="autoZero"/>
        <c:crossBetween val="midCat"/>
      </c:valAx>
      <c:valAx>
        <c:axId val="55370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537037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1Fight Gabor - Granger'!$O$23</c:f>
              <c:strCache>
                <c:ptCount val="1"/>
                <c:pt idx="0">
                  <c:v>precios USD</c:v>
                </c:pt>
              </c:strCache>
            </c:strRef>
          </c:tx>
          <c:spPr>
            <a:ln w="38100" cap="rnd">
              <a:noFill/>
              <a:round/>
            </a:ln>
            <a:effectLst/>
          </c:spPr>
          <c:marker>
            <c:symbol val="circle"/>
            <c:size val="5"/>
            <c:spPr>
              <a:solidFill>
                <a:schemeClr val="accent1"/>
              </a:solidFill>
              <a:ln w="9525">
                <a:solidFill>
                  <a:schemeClr val="accent1"/>
                </a:solidFill>
              </a:ln>
              <a:effectLst/>
            </c:spPr>
          </c:marker>
          <c:xVal>
            <c:numRef>
              <c:f>'Encuesta 1Fight Gabor - Granger'!$N$24:$N$29</c:f>
              <c:numCache>
                <c:formatCode>General</c:formatCode>
                <c:ptCount val="6"/>
                <c:pt idx="0">
                  <c:v>10.136157337367624</c:v>
                </c:pt>
                <c:pt idx="1">
                  <c:v>4.5385779122541603</c:v>
                </c:pt>
                <c:pt idx="2">
                  <c:v>7.1481481481481479</c:v>
                </c:pt>
                <c:pt idx="3">
                  <c:v>37.821482602118003</c:v>
                </c:pt>
                <c:pt idx="4">
                  <c:v>33.787191124558753</c:v>
                </c:pt>
                <c:pt idx="5">
                  <c:v>3.9838628340897628</c:v>
                </c:pt>
              </c:numCache>
            </c:numRef>
          </c:xVal>
          <c:yVal>
            <c:numRef>
              <c:f>'Encuesta 1Fight Gabor - Granger'!$O$24:$O$29</c:f>
              <c:numCache>
                <c:formatCode>General</c:formatCode>
                <c:ptCount val="6"/>
                <c:pt idx="0">
                  <c:v>49</c:v>
                </c:pt>
                <c:pt idx="1">
                  <c:v>59</c:v>
                </c:pt>
                <c:pt idx="2">
                  <c:v>69</c:v>
                </c:pt>
                <c:pt idx="3">
                  <c:v>79</c:v>
                </c:pt>
                <c:pt idx="4">
                  <c:v>89</c:v>
                </c:pt>
                <c:pt idx="5">
                  <c:v>99</c:v>
                </c:pt>
              </c:numCache>
            </c:numRef>
          </c:yVal>
          <c:smooth val="0"/>
          <c:extLst>
            <c:ext xmlns:c16="http://schemas.microsoft.com/office/drawing/2014/chart" uri="{C3380CC4-5D6E-409C-BE32-E72D297353CC}">
              <c16:uniqueId val="{00000000-8F97-BD47-9E92-2D0C80265981}"/>
            </c:ext>
          </c:extLst>
        </c:ser>
        <c:dLbls>
          <c:showLegendKey val="0"/>
          <c:showVal val="0"/>
          <c:showCatName val="0"/>
          <c:showSerName val="0"/>
          <c:showPercent val="0"/>
          <c:showBubbleSize val="0"/>
        </c:dLbls>
        <c:axId val="1490166704"/>
        <c:axId val="1490168432"/>
      </c:scatterChart>
      <c:valAx>
        <c:axId val="1490166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0168432"/>
        <c:crosses val="autoZero"/>
        <c:crossBetween val="midCat"/>
      </c:valAx>
      <c:valAx>
        <c:axId val="149016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0166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2 kickTrack Gabor'!$C$8</c:f>
              <c:strCache>
                <c:ptCount val="1"/>
                <c:pt idx="0">
                  <c:v>Usuarios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'Encuesta 2 kickTrack Gabor'!$B$9:$B$60</c:f>
              <c:numCache>
                <c:formatCode>General</c:formatCode>
                <c:ptCount val="52"/>
                <c:pt idx="0">
                  <c:v>49</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c:v>
                </c:pt>
                <c:pt idx="47">
                  <c:v>96</c:v>
                </c:pt>
                <c:pt idx="48">
                  <c:v>97</c:v>
                </c:pt>
                <c:pt idx="49">
                  <c:v>98</c:v>
                </c:pt>
                <c:pt idx="50">
                  <c:v>99</c:v>
                </c:pt>
                <c:pt idx="51">
                  <c:v>100</c:v>
                </c:pt>
              </c:numCache>
            </c:numRef>
          </c:xVal>
          <c:yVal>
            <c:numRef>
              <c:f>'Encuesta 2 kickTrack Gabor'!$C$9:$C$60</c:f>
              <c:numCache>
                <c:formatCode>General</c:formatCode>
                <c:ptCount val="52"/>
                <c:pt idx="0">
                  <c:v>13</c:v>
                </c:pt>
                <c:pt idx="1">
                  <c:v>19</c:v>
                </c:pt>
                <c:pt idx="2">
                  <c:v>23</c:v>
                </c:pt>
                <c:pt idx="3">
                  <c:v>28</c:v>
                </c:pt>
                <c:pt idx="4">
                  <c:v>30</c:v>
                </c:pt>
                <c:pt idx="5">
                  <c:v>36</c:v>
                </c:pt>
                <c:pt idx="6">
                  <c:v>39</c:v>
                </c:pt>
                <c:pt idx="7">
                  <c:v>39</c:v>
                </c:pt>
                <c:pt idx="8">
                  <c:v>44</c:v>
                </c:pt>
                <c:pt idx="9">
                  <c:v>44</c:v>
                </c:pt>
                <c:pt idx="10">
                  <c:v>45</c:v>
                </c:pt>
                <c:pt idx="11">
                  <c:v>48</c:v>
                </c:pt>
                <c:pt idx="12">
                  <c:v>50</c:v>
                </c:pt>
                <c:pt idx="13">
                  <c:v>52</c:v>
                </c:pt>
                <c:pt idx="14">
                  <c:v>52</c:v>
                </c:pt>
                <c:pt idx="15">
                  <c:v>53</c:v>
                </c:pt>
                <c:pt idx="16">
                  <c:v>51</c:v>
                </c:pt>
                <c:pt idx="17">
                  <c:v>49</c:v>
                </c:pt>
                <c:pt idx="18">
                  <c:v>45</c:v>
                </c:pt>
                <c:pt idx="19">
                  <c:v>39</c:v>
                </c:pt>
                <c:pt idx="20">
                  <c:v>30</c:v>
                </c:pt>
                <c:pt idx="21">
                  <c:v>28</c:v>
                </c:pt>
                <c:pt idx="22">
                  <c:v>26</c:v>
                </c:pt>
                <c:pt idx="23">
                  <c:v>26</c:v>
                </c:pt>
                <c:pt idx="24">
                  <c:v>21</c:v>
                </c:pt>
                <c:pt idx="25">
                  <c:v>19</c:v>
                </c:pt>
                <c:pt idx="26">
                  <c:v>17</c:v>
                </c:pt>
                <c:pt idx="27">
                  <c:v>17</c:v>
                </c:pt>
                <c:pt idx="28">
                  <c:v>17</c:v>
                </c:pt>
                <c:pt idx="29">
                  <c:v>15</c:v>
                </c:pt>
                <c:pt idx="30">
                  <c:v>12</c:v>
                </c:pt>
                <c:pt idx="31">
                  <c:v>12</c:v>
                </c:pt>
                <c:pt idx="32">
                  <c:v>10</c:v>
                </c:pt>
                <c:pt idx="33">
                  <c:v>8</c:v>
                </c:pt>
                <c:pt idx="34">
                  <c:v>5</c:v>
                </c:pt>
                <c:pt idx="35">
                  <c:v>5</c:v>
                </c:pt>
                <c:pt idx="36">
                  <c:v>5</c:v>
                </c:pt>
                <c:pt idx="37">
                  <c:v>5</c:v>
                </c:pt>
                <c:pt idx="38">
                  <c:v>4</c:v>
                </c:pt>
                <c:pt idx="39">
                  <c:v>4</c:v>
                </c:pt>
                <c:pt idx="40">
                  <c:v>3</c:v>
                </c:pt>
                <c:pt idx="41">
                  <c:v>3</c:v>
                </c:pt>
                <c:pt idx="42">
                  <c:v>1</c:v>
                </c:pt>
                <c:pt idx="43">
                  <c:v>1</c:v>
                </c:pt>
                <c:pt idx="44">
                  <c:v>1</c:v>
                </c:pt>
                <c:pt idx="45">
                  <c:v>1</c:v>
                </c:pt>
                <c:pt idx="46">
                  <c:v>1</c:v>
                </c:pt>
                <c:pt idx="47">
                  <c:v>1</c:v>
                </c:pt>
                <c:pt idx="48">
                  <c:v>1</c:v>
                </c:pt>
                <c:pt idx="49">
                  <c:v>1</c:v>
                </c:pt>
                <c:pt idx="50">
                  <c:v>1</c:v>
                </c:pt>
                <c:pt idx="51">
                  <c:v>0</c:v>
                </c:pt>
              </c:numCache>
            </c:numRef>
          </c:yVal>
          <c:smooth val="0"/>
          <c:extLst>
            <c:ext xmlns:c16="http://schemas.microsoft.com/office/drawing/2014/chart" uri="{C3380CC4-5D6E-409C-BE32-E72D297353CC}">
              <c16:uniqueId val="{00000000-2642-7A43-938F-A1E429355729}"/>
            </c:ext>
          </c:extLst>
        </c:ser>
        <c:dLbls>
          <c:showLegendKey val="0"/>
          <c:showVal val="0"/>
          <c:showCatName val="0"/>
          <c:showSerName val="0"/>
          <c:showPercent val="0"/>
          <c:showBubbleSize val="0"/>
        </c:dLbls>
        <c:axId val="540495696"/>
        <c:axId val="541039280"/>
      </c:scatterChart>
      <c:valAx>
        <c:axId val="54049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1039280"/>
        <c:crosses val="autoZero"/>
        <c:crossBetween val="midCat"/>
      </c:valAx>
      <c:valAx>
        <c:axId val="54103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04956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2 kickTrack Gabor'!$D$8</c:f>
              <c:strCache>
                <c:ptCount val="1"/>
                <c:pt idx="0">
                  <c:v>Potenciales usuarios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'Encuesta 2 kickTrack Gabor'!$B$9:$B$60</c:f>
              <c:numCache>
                <c:formatCode>General</c:formatCode>
                <c:ptCount val="52"/>
                <c:pt idx="0">
                  <c:v>49</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c:v>
                </c:pt>
                <c:pt idx="47">
                  <c:v>96</c:v>
                </c:pt>
                <c:pt idx="48">
                  <c:v>97</c:v>
                </c:pt>
                <c:pt idx="49">
                  <c:v>98</c:v>
                </c:pt>
                <c:pt idx="50">
                  <c:v>99</c:v>
                </c:pt>
                <c:pt idx="51">
                  <c:v>100</c:v>
                </c:pt>
              </c:numCache>
            </c:numRef>
          </c:xVal>
          <c:yVal>
            <c:numRef>
              <c:f>'Encuesta 2 kickTrack Gabor'!$D$9:$D$60</c:f>
              <c:numCache>
                <c:formatCode>General</c:formatCode>
                <c:ptCount val="52"/>
                <c:pt idx="0">
                  <c:v>48</c:v>
                </c:pt>
                <c:pt idx="1">
                  <c:v>60</c:v>
                </c:pt>
                <c:pt idx="2">
                  <c:v>60</c:v>
                </c:pt>
                <c:pt idx="3">
                  <c:v>59</c:v>
                </c:pt>
                <c:pt idx="4">
                  <c:v>50</c:v>
                </c:pt>
                <c:pt idx="5">
                  <c:v>45</c:v>
                </c:pt>
                <c:pt idx="6">
                  <c:v>41</c:v>
                </c:pt>
                <c:pt idx="7">
                  <c:v>41</c:v>
                </c:pt>
                <c:pt idx="8">
                  <c:v>30</c:v>
                </c:pt>
                <c:pt idx="9">
                  <c:v>24</c:v>
                </c:pt>
                <c:pt idx="10">
                  <c:v>22</c:v>
                </c:pt>
                <c:pt idx="11">
                  <c:v>22</c:v>
                </c:pt>
                <c:pt idx="12">
                  <c:v>17</c:v>
                </c:pt>
                <c:pt idx="13">
                  <c:v>15</c:v>
                </c:pt>
                <c:pt idx="14">
                  <c:v>13</c:v>
                </c:pt>
                <c:pt idx="15">
                  <c:v>13</c:v>
                </c:pt>
                <c:pt idx="16">
                  <c:v>13</c:v>
                </c:pt>
                <c:pt idx="17">
                  <c:v>11</c:v>
                </c:pt>
                <c:pt idx="18">
                  <c:v>9</c:v>
                </c:pt>
                <c:pt idx="19">
                  <c:v>8</c:v>
                </c:pt>
                <c:pt idx="20">
                  <c:v>8</c:v>
                </c:pt>
                <c:pt idx="21">
                  <c:v>8</c:v>
                </c:pt>
                <c:pt idx="22">
                  <c:v>8</c:v>
                </c:pt>
                <c:pt idx="23">
                  <c:v>8</c:v>
                </c:pt>
                <c:pt idx="24">
                  <c:v>6</c:v>
                </c:pt>
                <c:pt idx="25">
                  <c:v>5</c:v>
                </c:pt>
                <c:pt idx="26">
                  <c:v>4</c:v>
                </c:pt>
                <c:pt idx="27">
                  <c:v>3</c:v>
                </c:pt>
                <c:pt idx="28">
                  <c:v>2</c:v>
                </c:pt>
                <c:pt idx="29">
                  <c:v>1</c:v>
                </c:pt>
                <c:pt idx="30">
                  <c:v>1</c:v>
                </c:pt>
                <c:pt idx="31">
                  <c:v>1</c:v>
                </c:pt>
                <c:pt idx="32">
                  <c:v>1</c:v>
                </c:pt>
                <c:pt idx="33">
                  <c:v>1</c:v>
                </c:pt>
                <c:pt idx="34">
                  <c:v>1</c:v>
                </c:pt>
                <c:pt idx="35">
                  <c:v>1</c:v>
                </c:pt>
                <c:pt idx="36">
                  <c:v>1</c:v>
                </c:pt>
                <c:pt idx="37">
                  <c:v>1</c:v>
                </c:pt>
                <c:pt idx="38">
                  <c:v>1</c:v>
                </c:pt>
                <c:pt idx="39">
                  <c:v>1</c:v>
                </c:pt>
                <c:pt idx="40">
                  <c:v>0</c:v>
                </c:pt>
                <c:pt idx="41">
                  <c:v>0</c:v>
                </c:pt>
                <c:pt idx="42">
                  <c:v>0</c:v>
                </c:pt>
                <c:pt idx="43">
                  <c:v>0</c:v>
                </c:pt>
                <c:pt idx="44">
                  <c:v>0</c:v>
                </c:pt>
                <c:pt idx="45">
                  <c:v>0</c:v>
                </c:pt>
                <c:pt idx="46">
                  <c:v>0</c:v>
                </c:pt>
                <c:pt idx="47">
                  <c:v>0</c:v>
                </c:pt>
                <c:pt idx="48">
                  <c:v>0</c:v>
                </c:pt>
                <c:pt idx="49">
                  <c:v>0</c:v>
                </c:pt>
                <c:pt idx="50">
                  <c:v>0</c:v>
                </c:pt>
                <c:pt idx="51">
                  <c:v>0</c:v>
                </c:pt>
              </c:numCache>
            </c:numRef>
          </c:yVal>
          <c:smooth val="0"/>
          <c:extLst>
            <c:ext xmlns:c16="http://schemas.microsoft.com/office/drawing/2014/chart" uri="{C3380CC4-5D6E-409C-BE32-E72D297353CC}">
              <c16:uniqueId val="{00000000-E796-F048-81EF-26B98314D3A1}"/>
            </c:ext>
          </c:extLst>
        </c:ser>
        <c:dLbls>
          <c:showLegendKey val="0"/>
          <c:showVal val="0"/>
          <c:showCatName val="0"/>
          <c:showSerName val="0"/>
          <c:showPercent val="0"/>
          <c:showBubbleSize val="0"/>
        </c:dLbls>
        <c:axId val="1476630864"/>
        <c:axId val="1476632576"/>
      </c:scatterChart>
      <c:valAx>
        <c:axId val="147663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76632576"/>
        <c:crosses val="autoZero"/>
        <c:crossBetween val="midCat"/>
      </c:valAx>
      <c:valAx>
        <c:axId val="147663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76630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tx>
            <c:strRef>
              <c:f>'Encuesta 2 kickTrack Gabor'!$E$8</c:f>
              <c:strCache>
                <c:ptCount val="1"/>
                <c:pt idx="0">
                  <c:v>Entrenadores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'Encuesta 2 kickTrack Gabor'!$B$9:$B$60</c:f>
              <c:numCache>
                <c:formatCode>General</c:formatCode>
                <c:ptCount val="52"/>
                <c:pt idx="0">
                  <c:v>49</c:v>
                </c:pt>
                <c:pt idx="1">
                  <c:v>50</c:v>
                </c:pt>
                <c:pt idx="2">
                  <c:v>51</c:v>
                </c:pt>
                <c:pt idx="3">
                  <c:v>52</c:v>
                </c:pt>
                <c:pt idx="4">
                  <c:v>53</c:v>
                </c:pt>
                <c:pt idx="5">
                  <c:v>54</c:v>
                </c:pt>
                <c:pt idx="6">
                  <c:v>55</c:v>
                </c:pt>
                <c:pt idx="7">
                  <c:v>56</c:v>
                </c:pt>
                <c:pt idx="8">
                  <c:v>57</c:v>
                </c:pt>
                <c:pt idx="9">
                  <c:v>58</c:v>
                </c:pt>
                <c:pt idx="10">
                  <c:v>59</c:v>
                </c:pt>
                <c:pt idx="11">
                  <c:v>60</c:v>
                </c:pt>
                <c:pt idx="12">
                  <c:v>61</c:v>
                </c:pt>
                <c:pt idx="13">
                  <c:v>62</c:v>
                </c:pt>
                <c:pt idx="14">
                  <c:v>63</c:v>
                </c:pt>
                <c:pt idx="15">
                  <c:v>64</c:v>
                </c:pt>
                <c:pt idx="16">
                  <c:v>65</c:v>
                </c:pt>
                <c:pt idx="17">
                  <c:v>66</c:v>
                </c:pt>
                <c:pt idx="18">
                  <c:v>67</c:v>
                </c:pt>
                <c:pt idx="19">
                  <c:v>68</c:v>
                </c:pt>
                <c:pt idx="20">
                  <c:v>69</c:v>
                </c:pt>
                <c:pt idx="21">
                  <c:v>70</c:v>
                </c:pt>
                <c:pt idx="22">
                  <c:v>71</c:v>
                </c:pt>
                <c:pt idx="23">
                  <c:v>72</c:v>
                </c:pt>
                <c:pt idx="24">
                  <c:v>73</c:v>
                </c:pt>
                <c:pt idx="25">
                  <c:v>74</c:v>
                </c:pt>
                <c:pt idx="26">
                  <c:v>75</c:v>
                </c:pt>
                <c:pt idx="27">
                  <c:v>76</c:v>
                </c:pt>
                <c:pt idx="28">
                  <c:v>77</c:v>
                </c:pt>
                <c:pt idx="29">
                  <c:v>78</c:v>
                </c:pt>
                <c:pt idx="30">
                  <c:v>79</c:v>
                </c:pt>
                <c:pt idx="31">
                  <c:v>80</c:v>
                </c:pt>
                <c:pt idx="32">
                  <c:v>81</c:v>
                </c:pt>
                <c:pt idx="33">
                  <c:v>82</c:v>
                </c:pt>
                <c:pt idx="34">
                  <c:v>83</c:v>
                </c:pt>
                <c:pt idx="35">
                  <c:v>84</c:v>
                </c:pt>
                <c:pt idx="36">
                  <c:v>85</c:v>
                </c:pt>
                <c:pt idx="37">
                  <c:v>86</c:v>
                </c:pt>
                <c:pt idx="38">
                  <c:v>87</c:v>
                </c:pt>
                <c:pt idx="39">
                  <c:v>88</c:v>
                </c:pt>
                <c:pt idx="40">
                  <c:v>89</c:v>
                </c:pt>
                <c:pt idx="41">
                  <c:v>90</c:v>
                </c:pt>
                <c:pt idx="42">
                  <c:v>91</c:v>
                </c:pt>
                <c:pt idx="43">
                  <c:v>92</c:v>
                </c:pt>
                <c:pt idx="44">
                  <c:v>93</c:v>
                </c:pt>
                <c:pt idx="45">
                  <c:v>94</c:v>
                </c:pt>
                <c:pt idx="46">
                  <c:v>95</c:v>
                </c:pt>
                <c:pt idx="47">
                  <c:v>96</c:v>
                </c:pt>
                <c:pt idx="48">
                  <c:v>97</c:v>
                </c:pt>
                <c:pt idx="49">
                  <c:v>98</c:v>
                </c:pt>
                <c:pt idx="50">
                  <c:v>99</c:v>
                </c:pt>
                <c:pt idx="51">
                  <c:v>100</c:v>
                </c:pt>
              </c:numCache>
            </c:numRef>
          </c:xVal>
          <c:yVal>
            <c:numRef>
              <c:f>'Encuesta 2 kickTrack Gabor'!$E$9:$E$60</c:f>
              <c:numCache>
                <c:formatCode>General</c:formatCode>
                <c:ptCount val="52"/>
                <c:pt idx="0">
                  <c:v>0</c:v>
                </c:pt>
                <c:pt idx="1">
                  <c:v>0</c:v>
                </c:pt>
                <c:pt idx="2">
                  <c:v>1</c:v>
                </c:pt>
                <c:pt idx="3">
                  <c:v>1</c:v>
                </c:pt>
                <c:pt idx="4">
                  <c:v>1</c:v>
                </c:pt>
                <c:pt idx="5">
                  <c:v>1</c:v>
                </c:pt>
                <c:pt idx="6">
                  <c:v>1</c:v>
                </c:pt>
                <c:pt idx="7">
                  <c:v>1</c:v>
                </c:pt>
                <c:pt idx="8">
                  <c:v>1</c:v>
                </c:pt>
                <c:pt idx="9">
                  <c:v>3</c:v>
                </c:pt>
                <c:pt idx="10">
                  <c:v>3</c:v>
                </c:pt>
                <c:pt idx="11">
                  <c:v>4</c:v>
                </c:pt>
                <c:pt idx="12">
                  <c:v>4</c:v>
                </c:pt>
                <c:pt idx="13">
                  <c:v>5</c:v>
                </c:pt>
                <c:pt idx="14">
                  <c:v>16</c:v>
                </c:pt>
                <c:pt idx="15">
                  <c:v>25</c:v>
                </c:pt>
                <c:pt idx="16">
                  <c:v>60</c:v>
                </c:pt>
                <c:pt idx="17">
                  <c:v>60</c:v>
                </c:pt>
                <c:pt idx="18">
                  <c:v>59</c:v>
                </c:pt>
                <c:pt idx="19">
                  <c:v>50</c:v>
                </c:pt>
                <c:pt idx="20">
                  <c:v>45</c:v>
                </c:pt>
                <c:pt idx="21">
                  <c:v>41</c:v>
                </c:pt>
                <c:pt idx="22">
                  <c:v>41</c:v>
                </c:pt>
                <c:pt idx="23">
                  <c:v>30</c:v>
                </c:pt>
                <c:pt idx="24">
                  <c:v>24</c:v>
                </c:pt>
                <c:pt idx="25">
                  <c:v>22</c:v>
                </c:pt>
                <c:pt idx="26">
                  <c:v>22</c:v>
                </c:pt>
                <c:pt idx="27">
                  <c:v>17</c:v>
                </c:pt>
                <c:pt idx="28">
                  <c:v>15</c:v>
                </c:pt>
                <c:pt idx="29">
                  <c:v>13</c:v>
                </c:pt>
                <c:pt idx="30">
                  <c:v>13</c:v>
                </c:pt>
                <c:pt idx="31">
                  <c:v>13</c:v>
                </c:pt>
                <c:pt idx="32">
                  <c:v>11</c:v>
                </c:pt>
                <c:pt idx="33">
                  <c:v>8</c:v>
                </c:pt>
                <c:pt idx="34">
                  <c:v>8</c:v>
                </c:pt>
                <c:pt idx="35">
                  <c:v>7</c:v>
                </c:pt>
                <c:pt idx="36">
                  <c:v>7</c:v>
                </c:pt>
                <c:pt idx="37">
                  <c:v>6</c:v>
                </c:pt>
                <c:pt idx="38">
                  <c:v>5</c:v>
                </c:pt>
                <c:pt idx="39">
                  <c:v>5</c:v>
                </c:pt>
                <c:pt idx="40">
                  <c:v>4</c:v>
                </c:pt>
                <c:pt idx="41">
                  <c:v>4</c:v>
                </c:pt>
                <c:pt idx="42">
                  <c:v>4</c:v>
                </c:pt>
                <c:pt idx="43">
                  <c:v>3</c:v>
                </c:pt>
                <c:pt idx="44">
                  <c:v>3</c:v>
                </c:pt>
                <c:pt idx="45">
                  <c:v>3</c:v>
                </c:pt>
                <c:pt idx="46">
                  <c:v>3</c:v>
                </c:pt>
                <c:pt idx="47">
                  <c:v>3</c:v>
                </c:pt>
                <c:pt idx="48">
                  <c:v>2</c:v>
                </c:pt>
                <c:pt idx="49">
                  <c:v>2</c:v>
                </c:pt>
                <c:pt idx="50">
                  <c:v>2</c:v>
                </c:pt>
                <c:pt idx="51">
                  <c:v>2</c:v>
                </c:pt>
              </c:numCache>
            </c:numRef>
          </c:yVal>
          <c:smooth val="0"/>
          <c:extLst>
            <c:ext xmlns:c16="http://schemas.microsoft.com/office/drawing/2014/chart" uri="{C3380CC4-5D6E-409C-BE32-E72D297353CC}">
              <c16:uniqueId val="{00000000-1458-FD4B-A6B8-056A0C061C7C}"/>
            </c:ext>
          </c:extLst>
        </c:ser>
        <c:dLbls>
          <c:showLegendKey val="0"/>
          <c:showVal val="0"/>
          <c:showCatName val="0"/>
          <c:showSerName val="0"/>
          <c:showPercent val="0"/>
          <c:showBubbleSize val="0"/>
        </c:dLbls>
        <c:axId val="571167408"/>
        <c:axId val="571169120"/>
      </c:scatterChart>
      <c:valAx>
        <c:axId val="571167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71169120"/>
        <c:crosses val="autoZero"/>
        <c:crossBetween val="midCat"/>
      </c:valAx>
      <c:valAx>
        <c:axId val="57116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7116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Van Westedorp KickTRACK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'Encuesta 3  Van Westedorp'!$B$12</c:f>
              <c:strCache>
                <c:ptCount val="1"/>
                <c:pt idx="0">
                  <c:v>Pregunta 1</c:v>
                </c:pt>
              </c:strCache>
            </c:strRef>
          </c:tx>
          <c:spPr>
            <a:ln w="28575" cap="rnd">
              <a:solidFill>
                <a:schemeClr val="accent1"/>
              </a:solidFill>
              <a:round/>
            </a:ln>
            <a:effectLst/>
          </c:spPr>
          <c:marker>
            <c:symbol val="none"/>
          </c:marker>
          <c:cat>
            <c:numRef>
              <c:f>'Encuesta 3  Van Westedorp'!$A$13:$A$47</c:f>
              <c:numCache>
                <c:formatCode>General</c:formatCode>
                <c:ptCount val="3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numCache>
            </c:numRef>
          </c:cat>
          <c:val>
            <c:numRef>
              <c:f>'Encuesta 3  Van Westedorp'!$B$13:$B$47</c:f>
              <c:numCache>
                <c:formatCode>General</c:formatCode>
                <c:ptCount val="35"/>
                <c:pt idx="0">
                  <c:v>80</c:v>
                </c:pt>
                <c:pt idx="1">
                  <c:v>73</c:v>
                </c:pt>
                <c:pt idx="2">
                  <c:v>70</c:v>
                </c:pt>
                <c:pt idx="3">
                  <c:v>59</c:v>
                </c:pt>
                <c:pt idx="4">
                  <c:v>55</c:v>
                </c:pt>
                <c:pt idx="5">
                  <c:v>45</c:v>
                </c:pt>
                <c:pt idx="6">
                  <c:v>27</c:v>
                </c:pt>
                <c:pt idx="7">
                  <c:v>27</c:v>
                </c:pt>
                <c:pt idx="8">
                  <c:v>28</c:v>
                </c:pt>
                <c:pt idx="9">
                  <c:v>29</c:v>
                </c:pt>
                <c:pt idx="10">
                  <c:v>30</c:v>
                </c:pt>
                <c:pt idx="11">
                  <c:v>30</c:v>
                </c:pt>
                <c:pt idx="12">
                  <c:v>28</c:v>
                </c:pt>
                <c:pt idx="13">
                  <c:v>28</c:v>
                </c:pt>
                <c:pt idx="14">
                  <c:v>27</c:v>
                </c:pt>
                <c:pt idx="15">
                  <c:v>27</c:v>
                </c:pt>
                <c:pt idx="16">
                  <c:v>26</c:v>
                </c:pt>
                <c:pt idx="17">
                  <c:v>26</c:v>
                </c:pt>
                <c:pt idx="18">
                  <c:v>20</c:v>
                </c:pt>
                <c:pt idx="19">
                  <c:v>20</c:v>
                </c:pt>
                <c:pt idx="20">
                  <c:v>19</c:v>
                </c:pt>
                <c:pt idx="21">
                  <c:v>8</c:v>
                </c:pt>
                <c:pt idx="22">
                  <c:v>7</c:v>
                </c:pt>
                <c:pt idx="23">
                  <c:v>6</c:v>
                </c:pt>
                <c:pt idx="24">
                  <c:v>5</c:v>
                </c:pt>
                <c:pt idx="25">
                  <c:v>4</c:v>
                </c:pt>
                <c:pt idx="26">
                  <c:v>4</c:v>
                </c:pt>
                <c:pt idx="27">
                  <c:v>3</c:v>
                </c:pt>
                <c:pt idx="28">
                  <c:v>2</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9C49-4C43-B741-67A044548142}"/>
            </c:ext>
          </c:extLst>
        </c:ser>
        <c:ser>
          <c:idx val="1"/>
          <c:order val="1"/>
          <c:tx>
            <c:strRef>
              <c:f>'Encuesta 3  Van Westedorp'!$C$12</c:f>
              <c:strCache>
                <c:ptCount val="1"/>
                <c:pt idx="0">
                  <c:v>Pregunta 2</c:v>
                </c:pt>
              </c:strCache>
            </c:strRef>
          </c:tx>
          <c:spPr>
            <a:ln w="28575" cap="rnd">
              <a:solidFill>
                <a:schemeClr val="accent2"/>
              </a:solidFill>
              <a:round/>
            </a:ln>
            <a:effectLst/>
          </c:spPr>
          <c:marker>
            <c:symbol val="none"/>
          </c:marker>
          <c:cat>
            <c:numRef>
              <c:f>'Encuesta 3  Van Westedorp'!$A$13:$A$47</c:f>
              <c:numCache>
                <c:formatCode>General</c:formatCode>
                <c:ptCount val="3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numCache>
            </c:numRef>
          </c:cat>
          <c:val>
            <c:numRef>
              <c:f>'Encuesta 3  Van Westedorp'!$C$13:$C$47</c:f>
              <c:numCache>
                <c:formatCode>General</c:formatCode>
                <c:ptCount val="35"/>
                <c:pt idx="0">
                  <c:v>85</c:v>
                </c:pt>
                <c:pt idx="1">
                  <c:v>78</c:v>
                </c:pt>
                <c:pt idx="2">
                  <c:v>67</c:v>
                </c:pt>
                <c:pt idx="3">
                  <c:v>65</c:v>
                </c:pt>
                <c:pt idx="4">
                  <c:v>60</c:v>
                </c:pt>
                <c:pt idx="5">
                  <c:v>58</c:v>
                </c:pt>
                <c:pt idx="6">
                  <c:v>57</c:v>
                </c:pt>
                <c:pt idx="7">
                  <c:v>55</c:v>
                </c:pt>
                <c:pt idx="8">
                  <c:v>54</c:v>
                </c:pt>
                <c:pt idx="9">
                  <c:v>55</c:v>
                </c:pt>
                <c:pt idx="10">
                  <c:v>49</c:v>
                </c:pt>
                <c:pt idx="11">
                  <c:v>48</c:v>
                </c:pt>
                <c:pt idx="12">
                  <c:v>47</c:v>
                </c:pt>
                <c:pt idx="13">
                  <c:v>40</c:v>
                </c:pt>
                <c:pt idx="14">
                  <c:v>39</c:v>
                </c:pt>
                <c:pt idx="15">
                  <c:v>37</c:v>
                </c:pt>
                <c:pt idx="16">
                  <c:v>37</c:v>
                </c:pt>
                <c:pt idx="17">
                  <c:v>36</c:v>
                </c:pt>
                <c:pt idx="18">
                  <c:v>35</c:v>
                </c:pt>
                <c:pt idx="19">
                  <c:v>34</c:v>
                </c:pt>
                <c:pt idx="20">
                  <c:v>33</c:v>
                </c:pt>
                <c:pt idx="21">
                  <c:v>30</c:v>
                </c:pt>
                <c:pt idx="22">
                  <c:v>26</c:v>
                </c:pt>
                <c:pt idx="23">
                  <c:v>22</c:v>
                </c:pt>
                <c:pt idx="24">
                  <c:v>20</c:v>
                </c:pt>
                <c:pt idx="25">
                  <c:v>19</c:v>
                </c:pt>
                <c:pt idx="26">
                  <c:v>11</c:v>
                </c:pt>
                <c:pt idx="27">
                  <c:v>12</c:v>
                </c:pt>
                <c:pt idx="28">
                  <c:v>25</c:v>
                </c:pt>
                <c:pt idx="29">
                  <c:v>45</c:v>
                </c:pt>
                <c:pt idx="30">
                  <c:v>78</c:v>
                </c:pt>
                <c:pt idx="31">
                  <c:v>87</c:v>
                </c:pt>
                <c:pt idx="32">
                  <c:v>65</c:v>
                </c:pt>
                <c:pt idx="33">
                  <c:v>45</c:v>
                </c:pt>
                <c:pt idx="34">
                  <c:v>34</c:v>
                </c:pt>
              </c:numCache>
            </c:numRef>
          </c:val>
          <c:smooth val="0"/>
          <c:extLst>
            <c:ext xmlns:c16="http://schemas.microsoft.com/office/drawing/2014/chart" uri="{C3380CC4-5D6E-409C-BE32-E72D297353CC}">
              <c16:uniqueId val="{00000001-9C49-4C43-B741-67A044548142}"/>
            </c:ext>
          </c:extLst>
        </c:ser>
        <c:ser>
          <c:idx val="2"/>
          <c:order val="2"/>
          <c:tx>
            <c:strRef>
              <c:f>'Encuesta 3  Van Westedorp'!$D$12</c:f>
              <c:strCache>
                <c:ptCount val="1"/>
                <c:pt idx="0">
                  <c:v>Pregunta 3</c:v>
                </c:pt>
              </c:strCache>
            </c:strRef>
          </c:tx>
          <c:spPr>
            <a:ln w="28575" cap="rnd">
              <a:solidFill>
                <a:schemeClr val="accent3"/>
              </a:solidFill>
              <a:round/>
            </a:ln>
            <a:effectLst/>
          </c:spPr>
          <c:marker>
            <c:symbol val="none"/>
          </c:marker>
          <c:cat>
            <c:numRef>
              <c:f>'Encuesta 3  Van Westedorp'!$A$13:$A$47</c:f>
              <c:numCache>
                <c:formatCode>General</c:formatCode>
                <c:ptCount val="3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numCache>
            </c:numRef>
          </c:cat>
          <c:val>
            <c:numRef>
              <c:f>'Encuesta 3  Van Westedorp'!$D$13:$D$47</c:f>
              <c:numCache>
                <c:formatCode>General</c:formatCode>
                <c:ptCount val="35"/>
                <c:pt idx="0">
                  <c:v>0</c:v>
                </c:pt>
                <c:pt idx="1">
                  <c:v>0</c:v>
                </c:pt>
                <c:pt idx="2">
                  <c:v>0</c:v>
                </c:pt>
                <c:pt idx="3">
                  <c:v>0</c:v>
                </c:pt>
                <c:pt idx="4">
                  <c:v>1</c:v>
                </c:pt>
                <c:pt idx="5">
                  <c:v>2</c:v>
                </c:pt>
                <c:pt idx="6">
                  <c:v>3</c:v>
                </c:pt>
                <c:pt idx="7">
                  <c:v>5</c:v>
                </c:pt>
                <c:pt idx="8">
                  <c:v>12</c:v>
                </c:pt>
                <c:pt idx="9">
                  <c:v>12</c:v>
                </c:pt>
                <c:pt idx="10">
                  <c:v>12</c:v>
                </c:pt>
                <c:pt idx="11">
                  <c:v>15</c:v>
                </c:pt>
                <c:pt idx="12">
                  <c:v>16</c:v>
                </c:pt>
                <c:pt idx="13">
                  <c:v>18</c:v>
                </c:pt>
                <c:pt idx="14">
                  <c:v>19</c:v>
                </c:pt>
                <c:pt idx="15">
                  <c:v>22</c:v>
                </c:pt>
                <c:pt idx="16">
                  <c:v>24</c:v>
                </c:pt>
                <c:pt idx="17">
                  <c:v>34</c:v>
                </c:pt>
                <c:pt idx="18">
                  <c:v>36</c:v>
                </c:pt>
                <c:pt idx="19">
                  <c:v>39</c:v>
                </c:pt>
                <c:pt idx="20">
                  <c:v>45</c:v>
                </c:pt>
                <c:pt idx="21">
                  <c:v>48</c:v>
                </c:pt>
                <c:pt idx="22">
                  <c:v>56</c:v>
                </c:pt>
                <c:pt idx="23">
                  <c:v>59</c:v>
                </c:pt>
                <c:pt idx="24">
                  <c:v>70</c:v>
                </c:pt>
                <c:pt idx="25">
                  <c:v>78</c:v>
                </c:pt>
                <c:pt idx="26">
                  <c:v>79</c:v>
                </c:pt>
                <c:pt idx="27">
                  <c:v>80</c:v>
                </c:pt>
                <c:pt idx="28">
                  <c:v>81</c:v>
                </c:pt>
                <c:pt idx="29">
                  <c:v>83</c:v>
                </c:pt>
                <c:pt idx="30">
                  <c:v>90</c:v>
                </c:pt>
                <c:pt idx="31">
                  <c:v>88</c:v>
                </c:pt>
                <c:pt idx="32">
                  <c:v>90</c:v>
                </c:pt>
                <c:pt idx="33">
                  <c:v>98</c:v>
                </c:pt>
                <c:pt idx="34">
                  <c:v>120</c:v>
                </c:pt>
              </c:numCache>
            </c:numRef>
          </c:val>
          <c:smooth val="0"/>
          <c:extLst>
            <c:ext xmlns:c16="http://schemas.microsoft.com/office/drawing/2014/chart" uri="{C3380CC4-5D6E-409C-BE32-E72D297353CC}">
              <c16:uniqueId val="{00000002-9C49-4C43-B741-67A044548142}"/>
            </c:ext>
          </c:extLst>
        </c:ser>
        <c:ser>
          <c:idx val="3"/>
          <c:order val="3"/>
          <c:tx>
            <c:strRef>
              <c:f>'Encuesta 3  Van Westedorp'!$E$12</c:f>
              <c:strCache>
                <c:ptCount val="1"/>
                <c:pt idx="0">
                  <c:v>Pregunta 4</c:v>
                </c:pt>
              </c:strCache>
            </c:strRef>
          </c:tx>
          <c:spPr>
            <a:ln w="28575" cap="rnd">
              <a:solidFill>
                <a:schemeClr val="accent4"/>
              </a:solidFill>
              <a:round/>
            </a:ln>
            <a:effectLst/>
          </c:spPr>
          <c:marker>
            <c:symbol val="none"/>
          </c:marker>
          <c:cat>
            <c:numRef>
              <c:f>'Encuesta 3  Van Westedorp'!$A$13:$A$47</c:f>
              <c:numCache>
                <c:formatCode>General</c:formatCode>
                <c:ptCount val="3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numCache>
            </c:numRef>
          </c:cat>
          <c:val>
            <c:numRef>
              <c:f>'Encuesta 3  Van Westedorp'!$E$13:$E$47</c:f>
              <c:numCache>
                <c:formatCode>General</c:formatCode>
                <c:ptCount val="35"/>
                <c:pt idx="0">
                  <c:v>0</c:v>
                </c:pt>
                <c:pt idx="1">
                  <c:v>0</c:v>
                </c:pt>
                <c:pt idx="2">
                  <c:v>3</c:v>
                </c:pt>
                <c:pt idx="3">
                  <c:v>3</c:v>
                </c:pt>
                <c:pt idx="4">
                  <c:v>3</c:v>
                </c:pt>
                <c:pt idx="5">
                  <c:v>3</c:v>
                </c:pt>
                <c:pt idx="6">
                  <c:v>4</c:v>
                </c:pt>
                <c:pt idx="7">
                  <c:v>4</c:v>
                </c:pt>
                <c:pt idx="8">
                  <c:v>4</c:v>
                </c:pt>
                <c:pt idx="9">
                  <c:v>4</c:v>
                </c:pt>
                <c:pt idx="10">
                  <c:v>4</c:v>
                </c:pt>
                <c:pt idx="11">
                  <c:v>5</c:v>
                </c:pt>
                <c:pt idx="12">
                  <c:v>6</c:v>
                </c:pt>
                <c:pt idx="13">
                  <c:v>5</c:v>
                </c:pt>
                <c:pt idx="14">
                  <c:v>12</c:v>
                </c:pt>
                <c:pt idx="15">
                  <c:v>12</c:v>
                </c:pt>
                <c:pt idx="16">
                  <c:v>12</c:v>
                </c:pt>
                <c:pt idx="17">
                  <c:v>14</c:v>
                </c:pt>
                <c:pt idx="18">
                  <c:v>16</c:v>
                </c:pt>
                <c:pt idx="19">
                  <c:v>26</c:v>
                </c:pt>
                <c:pt idx="20">
                  <c:v>30</c:v>
                </c:pt>
                <c:pt idx="21">
                  <c:v>34</c:v>
                </c:pt>
                <c:pt idx="22">
                  <c:v>40</c:v>
                </c:pt>
                <c:pt idx="23">
                  <c:v>50</c:v>
                </c:pt>
                <c:pt idx="24">
                  <c:v>55</c:v>
                </c:pt>
                <c:pt idx="25">
                  <c:v>56</c:v>
                </c:pt>
                <c:pt idx="26">
                  <c:v>67</c:v>
                </c:pt>
                <c:pt idx="27">
                  <c:v>65</c:v>
                </c:pt>
                <c:pt idx="28">
                  <c:v>66</c:v>
                </c:pt>
                <c:pt idx="29">
                  <c:v>67</c:v>
                </c:pt>
                <c:pt idx="30">
                  <c:v>68</c:v>
                </c:pt>
                <c:pt idx="31">
                  <c:v>69</c:v>
                </c:pt>
                <c:pt idx="32">
                  <c:v>89</c:v>
                </c:pt>
                <c:pt idx="33">
                  <c:v>113</c:v>
                </c:pt>
                <c:pt idx="34">
                  <c:v>135</c:v>
                </c:pt>
              </c:numCache>
            </c:numRef>
          </c:val>
          <c:smooth val="0"/>
          <c:extLst>
            <c:ext xmlns:c16="http://schemas.microsoft.com/office/drawing/2014/chart" uri="{C3380CC4-5D6E-409C-BE32-E72D297353CC}">
              <c16:uniqueId val="{00000003-9C49-4C43-B741-67A044548142}"/>
            </c:ext>
          </c:extLst>
        </c:ser>
        <c:dLbls>
          <c:showLegendKey val="0"/>
          <c:showVal val="0"/>
          <c:showCatName val="0"/>
          <c:showSerName val="0"/>
          <c:showPercent val="0"/>
          <c:showBubbleSize val="0"/>
        </c:dLbls>
        <c:smooth val="0"/>
        <c:axId val="1480644832"/>
        <c:axId val="1480646544"/>
      </c:lineChart>
      <c:catAx>
        <c:axId val="148064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80646544"/>
        <c:crosses val="autoZero"/>
        <c:auto val="1"/>
        <c:lblAlgn val="ctr"/>
        <c:lblOffset val="100"/>
        <c:noMultiLvlLbl val="0"/>
      </c:catAx>
      <c:valAx>
        <c:axId val="148064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80644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958850</xdr:colOff>
      <xdr:row>30</xdr:row>
      <xdr:rowOff>114300</xdr:rowOff>
    </xdr:from>
    <xdr:to>
      <xdr:col>5</xdr:col>
      <xdr:colOff>450850</xdr:colOff>
      <xdr:row>44</xdr:row>
      <xdr:rowOff>12700</xdr:rowOff>
    </xdr:to>
    <xdr:graphicFrame macro="">
      <xdr:nvGraphicFramePr>
        <xdr:cNvPr id="5" name="Gráfico 4">
          <a:extLst>
            <a:ext uri="{FF2B5EF4-FFF2-40B4-BE49-F238E27FC236}">
              <a16:creationId xmlns:a16="http://schemas.microsoft.com/office/drawing/2014/main" id="{F59B7FDC-5A5E-9E20-1075-959D52EFA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412750</xdr:colOff>
      <xdr:row>30</xdr:row>
      <xdr:rowOff>114300</xdr:rowOff>
    </xdr:from>
    <xdr:to>
      <xdr:col>10</xdr:col>
      <xdr:colOff>133350</xdr:colOff>
      <xdr:row>44</xdr:row>
      <xdr:rowOff>12700</xdr:rowOff>
    </xdr:to>
    <xdr:graphicFrame macro="">
      <xdr:nvGraphicFramePr>
        <xdr:cNvPr id="6" name="Gráfico 5">
          <a:extLst>
            <a:ext uri="{FF2B5EF4-FFF2-40B4-BE49-F238E27FC236}">
              <a16:creationId xmlns:a16="http://schemas.microsoft.com/office/drawing/2014/main" id="{03B9DF10-74FA-76D4-3478-BE13C5592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577850</xdr:colOff>
      <xdr:row>30</xdr:row>
      <xdr:rowOff>152400</xdr:rowOff>
    </xdr:from>
    <xdr:to>
      <xdr:col>17</xdr:col>
      <xdr:colOff>133350</xdr:colOff>
      <xdr:row>44</xdr:row>
      <xdr:rowOff>50800</xdr:rowOff>
    </xdr:to>
    <xdr:graphicFrame macro="">
      <xdr:nvGraphicFramePr>
        <xdr:cNvPr id="8" name="Gráfico 7">
          <a:extLst>
            <a:ext uri="{FF2B5EF4-FFF2-40B4-BE49-F238E27FC236}">
              <a16:creationId xmlns:a16="http://schemas.microsoft.com/office/drawing/2014/main" id="{D2D23B0F-7F46-54BC-8001-2C5DA8EBB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7</xdr:row>
      <xdr:rowOff>101600</xdr:rowOff>
    </xdr:from>
    <xdr:to>
      <xdr:col>11</xdr:col>
      <xdr:colOff>457200</xdr:colOff>
      <xdr:row>20</xdr:row>
      <xdr:rowOff>38100</xdr:rowOff>
    </xdr:to>
    <xdr:graphicFrame macro="">
      <xdr:nvGraphicFramePr>
        <xdr:cNvPr id="2" name="Gráfico 1">
          <a:extLst>
            <a:ext uri="{FF2B5EF4-FFF2-40B4-BE49-F238E27FC236}">
              <a16:creationId xmlns:a16="http://schemas.microsoft.com/office/drawing/2014/main" id="{7526C243-C02E-430A-89CC-CA3BC77B0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63500</xdr:rowOff>
    </xdr:from>
    <xdr:to>
      <xdr:col>11</xdr:col>
      <xdr:colOff>444500</xdr:colOff>
      <xdr:row>39</xdr:row>
      <xdr:rowOff>0</xdr:rowOff>
    </xdr:to>
    <xdr:graphicFrame macro="">
      <xdr:nvGraphicFramePr>
        <xdr:cNvPr id="3" name="Gráfico 2">
          <a:extLst>
            <a:ext uri="{FF2B5EF4-FFF2-40B4-BE49-F238E27FC236}">
              <a16:creationId xmlns:a16="http://schemas.microsoft.com/office/drawing/2014/main" id="{9B72C7F1-3788-766D-A4BE-7B5553E7D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22679</xdr:colOff>
      <xdr:row>45</xdr:row>
      <xdr:rowOff>66221</xdr:rowOff>
    </xdr:from>
    <xdr:to>
      <xdr:col>11</xdr:col>
      <xdr:colOff>467179</xdr:colOff>
      <xdr:row>57</xdr:row>
      <xdr:rowOff>196850</xdr:rowOff>
    </xdr:to>
    <xdr:graphicFrame macro="">
      <xdr:nvGraphicFramePr>
        <xdr:cNvPr id="4" name="Gráfico 3">
          <a:extLst>
            <a:ext uri="{FF2B5EF4-FFF2-40B4-BE49-F238E27FC236}">
              <a16:creationId xmlns:a16="http://schemas.microsoft.com/office/drawing/2014/main" id="{C13D97AF-AA31-93F7-EEC5-99EE68897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641350</xdr:colOff>
      <xdr:row>20</xdr:row>
      <xdr:rowOff>203200</xdr:rowOff>
    </xdr:from>
    <xdr:to>
      <xdr:col>17</xdr:col>
      <xdr:colOff>0</xdr:colOff>
      <xdr:row>46</xdr:row>
      <xdr:rowOff>76200</xdr:rowOff>
    </xdr:to>
    <xdr:graphicFrame macro="">
      <xdr:nvGraphicFramePr>
        <xdr:cNvPr id="2" name="Gráfico 1">
          <a:extLst>
            <a:ext uri="{FF2B5EF4-FFF2-40B4-BE49-F238E27FC236}">
              <a16:creationId xmlns:a16="http://schemas.microsoft.com/office/drawing/2014/main" id="{C2343F4D-42B4-695D-5119-E473C5303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8938-42BE-EF47-B61E-9EB3EDAEB878}">
  <sheetPr filterMode="1"/>
  <dimension ref="A1:C53"/>
  <sheetViews>
    <sheetView zoomScale="125" workbookViewId="0">
      <selection activeCell="C28" sqref="C28"/>
    </sheetView>
  </sheetViews>
  <sheetFormatPr baseColWidth="10" defaultRowHeight="16" x14ac:dyDescent="0.2"/>
  <cols>
    <col min="2" max="3" width="54" customWidth="1"/>
  </cols>
  <sheetData>
    <row r="1" spans="1:3" ht="17" thickBot="1" x14ac:dyDescent="0.25">
      <c r="A1" s="28" t="s">
        <v>72</v>
      </c>
      <c r="B1" s="29" t="s">
        <v>73</v>
      </c>
      <c r="C1" s="29" t="s">
        <v>74</v>
      </c>
    </row>
    <row r="2" spans="1:3" ht="49" hidden="1" thickBot="1" x14ac:dyDescent="0.25">
      <c r="A2" s="30" t="s">
        <v>75</v>
      </c>
      <c r="B2" s="31" t="s">
        <v>76</v>
      </c>
      <c r="C2" s="31" t="s">
        <v>77</v>
      </c>
    </row>
    <row r="3" spans="1:3" ht="49" hidden="1" thickBot="1" x14ac:dyDescent="0.25">
      <c r="A3" s="32" t="s">
        <v>78</v>
      </c>
      <c r="B3" s="33" t="s">
        <v>76</v>
      </c>
      <c r="C3" s="33" t="s">
        <v>79</v>
      </c>
    </row>
    <row r="4" spans="1:3" ht="61" thickBot="1" x14ac:dyDescent="0.25">
      <c r="A4" s="32" t="s">
        <v>80</v>
      </c>
      <c r="B4" s="33" t="s">
        <v>81</v>
      </c>
      <c r="C4" s="33" t="s">
        <v>82</v>
      </c>
    </row>
    <row r="5" spans="1:3" ht="61" thickBot="1" x14ac:dyDescent="0.25">
      <c r="A5" s="32" t="s">
        <v>83</v>
      </c>
      <c r="B5" s="33" t="s">
        <v>81</v>
      </c>
      <c r="C5" s="33" t="s">
        <v>84</v>
      </c>
    </row>
    <row r="6" spans="1:3" ht="49" hidden="1" thickBot="1" x14ac:dyDescent="0.25">
      <c r="A6" s="32" t="s">
        <v>85</v>
      </c>
      <c r="B6" s="33" t="s">
        <v>76</v>
      </c>
      <c r="C6" s="33" t="s">
        <v>86</v>
      </c>
    </row>
    <row r="7" spans="1:3" ht="49" hidden="1" thickBot="1" x14ac:dyDescent="0.25">
      <c r="A7" s="32" t="s">
        <v>87</v>
      </c>
      <c r="B7" s="33" t="s">
        <v>88</v>
      </c>
      <c r="C7" s="33" t="s">
        <v>89</v>
      </c>
    </row>
    <row r="8" spans="1:3" ht="61" hidden="1" thickBot="1" x14ac:dyDescent="0.25">
      <c r="A8" s="32" t="s">
        <v>90</v>
      </c>
      <c r="B8" s="33" t="s">
        <v>88</v>
      </c>
      <c r="C8" s="33" t="s">
        <v>91</v>
      </c>
    </row>
    <row r="9" spans="1:3" ht="64" customHeight="1" thickBot="1" x14ac:dyDescent="0.25">
      <c r="A9" s="32" t="s">
        <v>92</v>
      </c>
      <c r="B9" s="33" t="s">
        <v>81</v>
      </c>
      <c r="C9" s="33" t="s">
        <v>93</v>
      </c>
    </row>
    <row r="10" spans="1:3" ht="37" hidden="1" thickBot="1" x14ac:dyDescent="0.25">
      <c r="A10" s="32" t="s">
        <v>94</v>
      </c>
      <c r="B10" s="33" t="s">
        <v>76</v>
      </c>
      <c r="C10" s="33" t="s">
        <v>95</v>
      </c>
    </row>
    <row r="11" spans="1:3" ht="49" hidden="1" thickBot="1" x14ac:dyDescent="0.25">
      <c r="A11" s="32" t="s">
        <v>96</v>
      </c>
      <c r="B11" s="33" t="s">
        <v>76</v>
      </c>
      <c r="C11" s="33" t="s">
        <v>97</v>
      </c>
    </row>
    <row r="12" spans="1:3" ht="25" hidden="1" thickBot="1" x14ac:dyDescent="0.25">
      <c r="A12" s="32" t="s">
        <v>98</v>
      </c>
      <c r="B12" s="33" t="s">
        <v>76</v>
      </c>
      <c r="C12" s="33" t="s">
        <v>99</v>
      </c>
    </row>
    <row r="13" spans="1:3" ht="49" hidden="1" thickBot="1" x14ac:dyDescent="0.25">
      <c r="A13" s="32" t="s">
        <v>100</v>
      </c>
      <c r="B13" s="33" t="s">
        <v>76</v>
      </c>
      <c r="C13" s="33" t="s">
        <v>101</v>
      </c>
    </row>
    <row r="14" spans="1:3" ht="17" hidden="1" thickBot="1" x14ac:dyDescent="0.25">
      <c r="A14" s="32" t="s">
        <v>102</v>
      </c>
      <c r="B14" s="33" t="s">
        <v>76</v>
      </c>
      <c r="C14" s="33" t="s">
        <v>103</v>
      </c>
    </row>
    <row r="15" spans="1:3" ht="49" hidden="1" thickBot="1" x14ac:dyDescent="0.25">
      <c r="A15" s="32" t="s">
        <v>104</v>
      </c>
      <c r="B15" s="33" t="s">
        <v>76</v>
      </c>
      <c r="C15" s="33" t="s">
        <v>105</v>
      </c>
    </row>
    <row r="16" spans="1:3" ht="25" hidden="1" thickBot="1" x14ac:dyDescent="0.25">
      <c r="A16" s="32" t="s">
        <v>106</v>
      </c>
      <c r="B16" s="33" t="s">
        <v>76</v>
      </c>
      <c r="C16" s="33" t="s">
        <v>107</v>
      </c>
    </row>
    <row r="17" spans="1:3" ht="37" hidden="1" thickBot="1" x14ac:dyDescent="0.25">
      <c r="A17" s="32" t="s">
        <v>108</v>
      </c>
      <c r="B17" s="33" t="s">
        <v>76</v>
      </c>
      <c r="C17" s="33" t="s">
        <v>109</v>
      </c>
    </row>
    <row r="18" spans="1:3" ht="61" hidden="1" thickBot="1" x14ac:dyDescent="0.25">
      <c r="A18" s="32" t="s">
        <v>110</v>
      </c>
      <c r="B18" s="33" t="s">
        <v>76</v>
      </c>
      <c r="C18" s="33" t="s">
        <v>111</v>
      </c>
    </row>
    <row r="19" spans="1:3" ht="61" hidden="1" thickBot="1" x14ac:dyDescent="0.25">
      <c r="A19" s="32" t="s">
        <v>112</v>
      </c>
      <c r="B19" s="33" t="s">
        <v>76</v>
      </c>
      <c r="C19" s="33" t="s">
        <v>113</v>
      </c>
    </row>
    <row r="20" spans="1:3" ht="61" hidden="1" thickBot="1" x14ac:dyDescent="0.25">
      <c r="A20" s="32" t="s">
        <v>114</v>
      </c>
      <c r="B20" s="33" t="s">
        <v>76</v>
      </c>
      <c r="C20" s="33" t="s">
        <v>115</v>
      </c>
    </row>
    <row r="21" spans="1:3" ht="37" hidden="1" thickBot="1" x14ac:dyDescent="0.25">
      <c r="A21" s="32" t="s">
        <v>116</v>
      </c>
      <c r="B21" s="33" t="s">
        <v>76</v>
      </c>
      <c r="C21" s="33" t="s">
        <v>117</v>
      </c>
    </row>
    <row r="22" spans="1:3" ht="73" hidden="1" thickBot="1" x14ac:dyDescent="0.25">
      <c r="A22" s="32" t="s">
        <v>118</v>
      </c>
      <c r="B22" s="33" t="s">
        <v>76</v>
      </c>
      <c r="C22" s="33" t="s">
        <v>119</v>
      </c>
    </row>
    <row r="23" spans="1:3" ht="49" hidden="1" thickBot="1" x14ac:dyDescent="0.25">
      <c r="A23" s="32" t="s">
        <v>120</v>
      </c>
      <c r="B23" s="33" t="s">
        <v>76</v>
      </c>
      <c r="C23" s="33" t="s">
        <v>121</v>
      </c>
    </row>
    <row r="24" spans="1:3" ht="73" hidden="1" thickBot="1" x14ac:dyDescent="0.25">
      <c r="A24" s="32" t="s">
        <v>120</v>
      </c>
      <c r="B24" s="33" t="s">
        <v>76</v>
      </c>
      <c r="C24" s="33" t="s">
        <v>122</v>
      </c>
    </row>
    <row r="25" spans="1:3" ht="37" hidden="1" thickBot="1" x14ac:dyDescent="0.25">
      <c r="A25" s="32" t="s">
        <v>120</v>
      </c>
      <c r="B25" s="33" t="s">
        <v>76</v>
      </c>
      <c r="C25" s="33" t="s">
        <v>123</v>
      </c>
    </row>
    <row r="26" spans="1:3" ht="61" hidden="1" thickBot="1" x14ac:dyDescent="0.25">
      <c r="A26" s="32" t="s">
        <v>124</v>
      </c>
      <c r="B26" s="33" t="s">
        <v>76</v>
      </c>
      <c r="C26" s="33" t="s">
        <v>125</v>
      </c>
    </row>
    <row r="27" spans="1:3" ht="6" customHeight="1" thickBot="1" x14ac:dyDescent="0.25">
      <c r="A27" s="32" t="s">
        <v>126</v>
      </c>
      <c r="B27" s="33" t="s">
        <v>76</v>
      </c>
      <c r="C27" s="33" t="s">
        <v>127</v>
      </c>
    </row>
    <row r="28" spans="1:3" ht="95" customHeight="1" thickBot="1" x14ac:dyDescent="0.25">
      <c r="A28" s="32" t="s">
        <v>128</v>
      </c>
      <c r="B28" s="33" t="s">
        <v>81</v>
      </c>
      <c r="C28" s="33" t="s">
        <v>129</v>
      </c>
    </row>
    <row r="29" spans="1:3" ht="61" hidden="1" thickBot="1" x14ac:dyDescent="0.25">
      <c r="A29" s="32" t="s">
        <v>114</v>
      </c>
      <c r="B29" s="33" t="s">
        <v>76</v>
      </c>
      <c r="C29" s="33" t="s">
        <v>130</v>
      </c>
    </row>
    <row r="30" spans="1:3" ht="61" hidden="1" thickBot="1" x14ac:dyDescent="0.25">
      <c r="A30" s="32" t="s">
        <v>83</v>
      </c>
      <c r="B30" s="33" t="s">
        <v>76</v>
      </c>
      <c r="C30" s="33" t="s">
        <v>131</v>
      </c>
    </row>
    <row r="31" spans="1:3" ht="49" hidden="1" thickBot="1" x14ac:dyDescent="0.25">
      <c r="A31" s="32" t="s">
        <v>124</v>
      </c>
      <c r="B31" s="33" t="s">
        <v>76</v>
      </c>
      <c r="C31" s="33" t="s">
        <v>132</v>
      </c>
    </row>
    <row r="32" spans="1:3" ht="25" hidden="1" thickBot="1" x14ac:dyDescent="0.25">
      <c r="A32" s="32" t="s">
        <v>133</v>
      </c>
      <c r="B32" s="33" t="s">
        <v>76</v>
      </c>
      <c r="C32" s="33" t="s">
        <v>134</v>
      </c>
    </row>
    <row r="33" spans="1:3" ht="49" hidden="1" thickBot="1" x14ac:dyDescent="0.25">
      <c r="A33" s="32" t="s">
        <v>135</v>
      </c>
      <c r="B33" s="33" t="s">
        <v>76</v>
      </c>
      <c r="C33" s="33" t="s">
        <v>136</v>
      </c>
    </row>
    <row r="34" spans="1:3" ht="61" hidden="1" thickBot="1" x14ac:dyDescent="0.25">
      <c r="A34" s="32" t="s">
        <v>137</v>
      </c>
      <c r="B34" s="33" t="s">
        <v>76</v>
      </c>
      <c r="C34" s="33" t="s">
        <v>138</v>
      </c>
    </row>
    <row r="35" spans="1:3" ht="61" hidden="1" thickBot="1" x14ac:dyDescent="0.25">
      <c r="A35" s="32" t="s">
        <v>137</v>
      </c>
      <c r="B35" s="33" t="s">
        <v>76</v>
      </c>
      <c r="C35" s="33" t="s">
        <v>139</v>
      </c>
    </row>
    <row r="36" spans="1:3" ht="49" hidden="1" thickBot="1" x14ac:dyDescent="0.25">
      <c r="A36" s="32" t="s">
        <v>140</v>
      </c>
      <c r="B36" s="33" t="s">
        <v>88</v>
      </c>
      <c r="C36" s="33" t="s">
        <v>141</v>
      </c>
    </row>
    <row r="37" spans="1:3" ht="49" hidden="1" thickBot="1" x14ac:dyDescent="0.25">
      <c r="A37" s="32" t="s">
        <v>142</v>
      </c>
      <c r="B37" s="33" t="s">
        <v>76</v>
      </c>
      <c r="C37" s="33" t="s">
        <v>143</v>
      </c>
    </row>
    <row r="38" spans="1:3" ht="49" hidden="1" thickBot="1" x14ac:dyDescent="0.25">
      <c r="A38" s="32" t="s">
        <v>144</v>
      </c>
      <c r="B38" s="33" t="s">
        <v>76</v>
      </c>
      <c r="C38" s="33" t="s">
        <v>145</v>
      </c>
    </row>
    <row r="39" spans="1:3" ht="49" hidden="1" thickBot="1" x14ac:dyDescent="0.25">
      <c r="A39" s="32" t="s">
        <v>114</v>
      </c>
      <c r="B39" s="33" t="s">
        <v>88</v>
      </c>
      <c r="C39" s="33" t="s">
        <v>146</v>
      </c>
    </row>
    <row r="40" spans="1:3" ht="37" hidden="1" thickBot="1" x14ac:dyDescent="0.25">
      <c r="A40" s="32" t="s">
        <v>137</v>
      </c>
      <c r="B40" s="33" t="s">
        <v>76</v>
      </c>
      <c r="C40" s="33" t="s">
        <v>147</v>
      </c>
    </row>
    <row r="41" spans="1:3" ht="61" hidden="1" thickBot="1" x14ac:dyDescent="0.25">
      <c r="A41" s="32" t="s">
        <v>144</v>
      </c>
      <c r="B41" s="33" t="s">
        <v>76</v>
      </c>
      <c r="C41" s="33" t="s">
        <v>148</v>
      </c>
    </row>
    <row r="42" spans="1:3" ht="61" hidden="1" thickBot="1" x14ac:dyDescent="0.25">
      <c r="A42" s="32" t="s">
        <v>137</v>
      </c>
      <c r="B42" s="33" t="s">
        <v>88</v>
      </c>
      <c r="C42" s="33" t="s">
        <v>149</v>
      </c>
    </row>
    <row r="43" spans="1:3" ht="49" hidden="1" thickBot="1" x14ac:dyDescent="0.25">
      <c r="A43" s="32" t="s">
        <v>150</v>
      </c>
      <c r="B43" s="33" t="s">
        <v>76</v>
      </c>
      <c r="C43" s="33" t="s">
        <v>151</v>
      </c>
    </row>
    <row r="44" spans="1:3" ht="3" customHeight="1" thickBot="1" x14ac:dyDescent="0.25">
      <c r="A44" s="32" t="s">
        <v>152</v>
      </c>
      <c r="B44" s="33" t="s">
        <v>76</v>
      </c>
      <c r="C44" s="33" t="s">
        <v>153</v>
      </c>
    </row>
    <row r="45" spans="1:3" ht="37" thickBot="1" x14ac:dyDescent="0.25">
      <c r="A45" s="32" t="s">
        <v>154</v>
      </c>
      <c r="B45" s="33" t="s">
        <v>81</v>
      </c>
      <c r="C45" s="33" t="s">
        <v>155</v>
      </c>
    </row>
    <row r="46" spans="1:3" ht="61" hidden="1" thickBot="1" x14ac:dyDescent="0.25">
      <c r="A46" s="32" t="s">
        <v>114</v>
      </c>
      <c r="B46" s="33" t="s">
        <v>76</v>
      </c>
      <c r="C46" s="33" t="s">
        <v>156</v>
      </c>
    </row>
    <row r="47" spans="1:3" ht="25" thickBot="1" x14ac:dyDescent="0.25">
      <c r="A47" s="32" t="s">
        <v>137</v>
      </c>
      <c r="B47" s="33" t="s">
        <v>81</v>
      </c>
      <c r="C47" s="33" t="s">
        <v>157</v>
      </c>
    </row>
    <row r="48" spans="1:3" ht="61" hidden="1" thickBot="1" x14ac:dyDescent="0.25">
      <c r="A48" s="32" t="s">
        <v>144</v>
      </c>
      <c r="B48" s="33" t="s">
        <v>88</v>
      </c>
      <c r="C48" s="33" t="s">
        <v>158</v>
      </c>
    </row>
    <row r="49" spans="1:3" ht="49" hidden="1" thickBot="1" x14ac:dyDescent="0.25">
      <c r="A49" s="32" t="s">
        <v>159</v>
      </c>
      <c r="B49" s="33" t="s">
        <v>76</v>
      </c>
      <c r="C49" s="33" t="s">
        <v>160</v>
      </c>
    </row>
    <row r="50" spans="1:3" ht="37" thickBot="1" x14ac:dyDescent="0.25">
      <c r="A50" s="32" t="s">
        <v>137</v>
      </c>
      <c r="B50" s="33" t="s">
        <v>81</v>
      </c>
      <c r="C50" s="33" t="s">
        <v>161</v>
      </c>
    </row>
    <row r="51" spans="1:3" ht="37" hidden="1" thickBot="1" x14ac:dyDescent="0.25">
      <c r="A51" s="32" t="s">
        <v>114</v>
      </c>
      <c r="B51" s="33" t="s">
        <v>76</v>
      </c>
      <c r="C51" s="33" t="s">
        <v>162</v>
      </c>
    </row>
    <row r="52" spans="1:3" ht="61" hidden="1" thickBot="1" x14ac:dyDescent="0.25">
      <c r="A52" s="32" t="s">
        <v>114</v>
      </c>
      <c r="B52" s="33" t="s">
        <v>88</v>
      </c>
      <c r="C52" s="33" t="s">
        <v>163</v>
      </c>
    </row>
    <row r="53" spans="1:3" x14ac:dyDescent="0.2">
      <c r="A53" s="34"/>
    </row>
  </sheetData>
  <autoFilter ref="A1:C52" xr:uid="{F9DD8938-42BE-EF47-B61E-9EB3EDAEB878}">
    <filterColumn colId="1">
      <filters>
        <filter val="Nuevo Usuari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CE88-6CC4-6142-B01C-A58B0E12D3BD}">
  <dimension ref="A1:D31"/>
  <sheetViews>
    <sheetView topLeftCell="A5" workbookViewId="0">
      <selection activeCell="A13" sqref="A13:C14"/>
    </sheetView>
  </sheetViews>
  <sheetFormatPr baseColWidth="10" defaultRowHeight="16" x14ac:dyDescent="0.2"/>
  <cols>
    <col min="1" max="1" width="11" bestFit="1" customWidth="1"/>
    <col min="2" max="2" width="43" customWidth="1"/>
    <col min="3" max="3" width="19.5" customWidth="1"/>
    <col min="4" max="4" width="19.33203125" customWidth="1"/>
  </cols>
  <sheetData>
    <row r="1" spans="1:4" x14ac:dyDescent="0.2">
      <c r="C1" t="s">
        <v>6</v>
      </c>
      <c r="D1" t="s">
        <v>7</v>
      </c>
    </row>
    <row r="2" spans="1:4" x14ac:dyDescent="0.2">
      <c r="A2" t="s">
        <v>0</v>
      </c>
      <c r="B2" t="s">
        <v>1</v>
      </c>
      <c r="C2">
        <v>499</v>
      </c>
      <c r="D2" t="s">
        <v>8</v>
      </c>
    </row>
    <row r="3" spans="1:4" x14ac:dyDescent="0.2">
      <c r="A3" t="s">
        <v>2</v>
      </c>
      <c r="B3" t="s">
        <v>3</v>
      </c>
      <c r="C3">
        <v>999</v>
      </c>
      <c r="D3" t="s">
        <v>9</v>
      </c>
    </row>
    <row r="4" spans="1:4" x14ac:dyDescent="0.2">
      <c r="A4" t="s">
        <v>4</v>
      </c>
      <c r="B4" t="s">
        <v>5</v>
      </c>
      <c r="C4">
        <v>1099</v>
      </c>
      <c r="D4" t="s">
        <v>10</v>
      </c>
    </row>
    <row r="6" spans="1:4" x14ac:dyDescent="0.2">
      <c r="A6" t="s">
        <v>11</v>
      </c>
    </row>
    <row r="7" spans="1:4" x14ac:dyDescent="0.2">
      <c r="A7" t="s">
        <v>12</v>
      </c>
    </row>
    <row r="8" spans="1:4" x14ac:dyDescent="0.2">
      <c r="A8" t="s">
        <v>13</v>
      </c>
    </row>
    <row r="9" spans="1:4" x14ac:dyDescent="0.2">
      <c r="A9" t="s">
        <v>14</v>
      </c>
    </row>
    <row r="10" spans="1:4" x14ac:dyDescent="0.2">
      <c r="A10" t="s">
        <v>15</v>
      </c>
    </row>
    <row r="13" spans="1:4" x14ac:dyDescent="0.2">
      <c r="A13" t="s">
        <v>16</v>
      </c>
    </row>
    <row r="14" spans="1:4" x14ac:dyDescent="0.2">
      <c r="A14">
        <v>1</v>
      </c>
      <c r="B14" t="s">
        <v>17</v>
      </c>
    </row>
    <row r="15" spans="1:4" x14ac:dyDescent="0.2">
      <c r="A15">
        <v>2</v>
      </c>
      <c r="B15" t="s">
        <v>18</v>
      </c>
    </row>
    <row r="16" spans="1:4" x14ac:dyDescent="0.2">
      <c r="A16">
        <v>3</v>
      </c>
      <c r="B16" t="s">
        <v>19</v>
      </c>
    </row>
    <row r="17" spans="1:4" x14ac:dyDescent="0.2">
      <c r="A17">
        <v>4</v>
      </c>
      <c r="B17" t="s">
        <v>20</v>
      </c>
    </row>
    <row r="20" spans="1:4" x14ac:dyDescent="0.2">
      <c r="A20" t="s">
        <v>21</v>
      </c>
      <c r="C20" t="s">
        <v>27</v>
      </c>
      <c r="D20" t="s">
        <v>32</v>
      </c>
    </row>
    <row r="21" spans="1:4" x14ac:dyDescent="0.2">
      <c r="A21">
        <v>1</v>
      </c>
      <c r="B21" t="s">
        <v>22</v>
      </c>
      <c r="C21" t="s">
        <v>28</v>
      </c>
      <c r="D21">
        <v>5</v>
      </c>
    </row>
    <row r="22" spans="1:4" x14ac:dyDescent="0.2">
      <c r="A22">
        <v>2</v>
      </c>
      <c r="B22" t="s">
        <v>23</v>
      </c>
      <c r="C22" t="s">
        <v>29</v>
      </c>
      <c r="D22">
        <v>4</v>
      </c>
    </row>
    <row r="23" spans="1:4" x14ac:dyDescent="0.2">
      <c r="A23">
        <v>3</v>
      </c>
      <c r="B23" t="s">
        <v>24</v>
      </c>
      <c r="C23" t="s">
        <v>29</v>
      </c>
      <c r="D23">
        <v>3</v>
      </c>
    </row>
    <row r="24" spans="1:4" x14ac:dyDescent="0.2">
      <c r="A24">
        <v>4</v>
      </c>
      <c r="B24" t="s">
        <v>25</v>
      </c>
      <c r="C24" t="s">
        <v>30</v>
      </c>
      <c r="D24">
        <v>2</v>
      </c>
    </row>
    <row r="25" spans="1:4" x14ac:dyDescent="0.2">
      <c r="A25">
        <v>5</v>
      </c>
      <c r="B25" t="s">
        <v>26</v>
      </c>
      <c r="C25" t="s">
        <v>31</v>
      </c>
      <c r="D25">
        <v>5</v>
      </c>
    </row>
    <row r="26" spans="1:4" x14ac:dyDescent="0.2">
      <c r="A26" t="s">
        <v>37</v>
      </c>
    </row>
    <row r="27" spans="1:4" x14ac:dyDescent="0.2">
      <c r="A27" t="s">
        <v>33</v>
      </c>
    </row>
    <row r="28" spans="1:4" x14ac:dyDescent="0.2">
      <c r="A28">
        <v>1</v>
      </c>
      <c r="B28" t="s">
        <v>34</v>
      </c>
    </row>
    <row r="29" spans="1:4" x14ac:dyDescent="0.2">
      <c r="A29">
        <v>2</v>
      </c>
      <c r="B29" t="s">
        <v>35</v>
      </c>
    </row>
    <row r="30" spans="1:4" x14ac:dyDescent="0.2">
      <c r="A30">
        <v>3</v>
      </c>
      <c r="B30" t="s">
        <v>36</v>
      </c>
    </row>
    <row r="31" spans="1:4" x14ac:dyDescent="0.2">
      <c r="A31">
        <v>4</v>
      </c>
      <c r="B3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2957-9BD0-2C4B-837D-E207E86A7479}">
  <dimension ref="A1:P48"/>
  <sheetViews>
    <sheetView workbookViewId="0">
      <selection activeCell="C37" sqref="C37"/>
    </sheetView>
  </sheetViews>
  <sheetFormatPr baseColWidth="10" defaultRowHeight="16" x14ac:dyDescent="0.2"/>
  <cols>
    <col min="1" max="1" width="25.5" bestFit="1" customWidth="1"/>
    <col min="2" max="2" width="8.1640625" bestFit="1" customWidth="1"/>
    <col min="3" max="3" width="19.83203125" customWidth="1"/>
    <col min="4" max="4" width="18.1640625" bestFit="1" customWidth="1"/>
    <col min="5" max="5" width="28.6640625" bestFit="1" customWidth="1"/>
    <col min="6" max="6" width="14.33203125" customWidth="1"/>
    <col min="7" max="7" width="22.5" bestFit="1" customWidth="1"/>
    <col min="8" max="8" width="19.5" customWidth="1"/>
    <col min="14" max="14" width="22.5" bestFit="1" customWidth="1"/>
    <col min="15" max="15" width="19.33203125" customWidth="1"/>
  </cols>
  <sheetData>
    <row r="1" spans="1:7" x14ac:dyDescent="0.2">
      <c r="A1" t="s">
        <v>41</v>
      </c>
    </row>
    <row r="2" spans="1:7" x14ac:dyDescent="0.2">
      <c r="A2" t="s">
        <v>52</v>
      </c>
    </row>
    <row r="4" spans="1:7" x14ac:dyDescent="0.2">
      <c r="A4" s="35" t="s">
        <v>167</v>
      </c>
      <c r="B4" s="35" t="s">
        <v>42</v>
      </c>
      <c r="C4" s="35" t="s">
        <v>164</v>
      </c>
      <c r="D4" s="35" t="s">
        <v>43</v>
      </c>
      <c r="E4" s="35" t="s">
        <v>165</v>
      </c>
      <c r="F4" s="35" t="s">
        <v>39</v>
      </c>
      <c r="G4" s="35" t="s">
        <v>166</v>
      </c>
    </row>
    <row r="5" spans="1:7" x14ac:dyDescent="0.2">
      <c r="A5">
        <v>49</v>
      </c>
      <c r="B5">
        <v>2013</v>
      </c>
      <c r="C5">
        <f>(B5*100)/B11</f>
        <v>66.633565044687188</v>
      </c>
      <c r="D5">
        <v>673</v>
      </c>
      <c r="E5">
        <f>(D5*100)/D11</f>
        <v>53.328050713153722</v>
      </c>
      <c r="F5">
        <v>201</v>
      </c>
      <c r="G5">
        <f>(F5*100)/F11</f>
        <v>10.136157337367624</v>
      </c>
    </row>
    <row r="6" spans="1:7" x14ac:dyDescent="0.2">
      <c r="A6">
        <v>59</v>
      </c>
      <c r="B6">
        <v>601</v>
      </c>
      <c r="C6">
        <f>(B6*100)/B11</f>
        <v>19.894074809665675</v>
      </c>
      <c r="D6">
        <v>341</v>
      </c>
      <c r="E6">
        <f>(D6*100)/D11</f>
        <v>27.020602218700475</v>
      </c>
      <c r="F6">
        <v>90</v>
      </c>
      <c r="G6">
        <f>(F6*100)/F11</f>
        <v>4.5385779122541603</v>
      </c>
    </row>
    <row r="7" spans="1:7" x14ac:dyDescent="0.2">
      <c r="A7">
        <v>69</v>
      </c>
      <c r="B7">
        <v>317</v>
      </c>
      <c r="C7">
        <f>(B7*100)/B11</f>
        <v>10.493214167494207</v>
      </c>
      <c r="D7">
        <v>217</v>
      </c>
      <c r="E7">
        <f>(D7*100)/D11</f>
        <v>17.194928684627577</v>
      </c>
      <c r="F7">
        <v>193</v>
      </c>
      <c r="G7">
        <f>(F7*100)/F13</f>
        <v>7.1481481481481479</v>
      </c>
    </row>
    <row r="8" spans="1:7" x14ac:dyDescent="0.2">
      <c r="A8">
        <v>79</v>
      </c>
      <c r="B8">
        <v>63</v>
      </c>
      <c r="C8">
        <f>(B8*100)/B11</f>
        <v>2.0854021847070507</v>
      </c>
      <c r="D8">
        <v>16</v>
      </c>
      <c r="E8">
        <f>(D8*100)/D11</f>
        <v>1.2678288431061806</v>
      </c>
      <c r="F8">
        <v>750</v>
      </c>
      <c r="G8">
        <f>(F8*100)/F11</f>
        <v>37.821482602118003</v>
      </c>
    </row>
    <row r="9" spans="1:7" x14ac:dyDescent="0.2">
      <c r="A9">
        <v>89</v>
      </c>
      <c r="B9">
        <v>15</v>
      </c>
      <c r="C9">
        <f>(B9*100)/B11</f>
        <v>0.49652432969215493</v>
      </c>
      <c r="D9">
        <v>12</v>
      </c>
      <c r="E9">
        <f>(D9*100)/D11</f>
        <v>0.95087163232963545</v>
      </c>
      <c r="F9">
        <v>670</v>
      </c>
      <c r="G9">
        <f>(F9*100)/F11</f>
        <v>33.787191124558753</v>
      </c>
    </row>
    <row r="10" spans="1:7" x14ac:dyDescent="0.2">
      <c r="A10">
        <v>99</v>
      </c>
      <c r="B10">
        <v>12</v>
      </c>
      <c r="C10">
        <f>(B10*100)/B11</f>
        <v>0.39721946375372391</v>
      </c>
      <c r="D10">
        <v>3</v>
      </c>
      <c r="E10">
        <f>(D10*100)/D11</f>
        <v>0.23771790808240886</v>
      </c>
      <c r="F10">
        <v>79</v>
      </c>
      <c r="G10">
        <f>(F10*100)/F11</f>
        <v>3.9838628340897628</v>
      </c>
    </row>
    <row r="11" spans="1:7" x14ac:dyDescent="0.2">
      <c r="A11" t="s">
        <v>44</v>
      </c>
      <c r="B11">
        <v>3021</v>
      </c>
      <c r="D11">
        <v>1262</v>
      </c>
      <c r="F11">
        <v>1983</v>
      </c>
    </row>
    <row r="12" spans="1:7" x14ac:dyDescent="0.2">
      <c r="A12" t="s">
        <v>56</v>
      </c>
      <c r="F12">
        <v>2448</v>
      </c>
    </row>
    <row r="13" spans="1:7" x14ac:dyDescent="0.2">
      <c r="A13" t="s">
        <v>45</v>
      </c>
      <c r="F13">
        <v>2700</v>
      </c>
    </row>
    <row r="23" spans="4:15" x14ac:dyDescent="0.2">
      <c r="D23" s="35" t="s">
        <v>164</v>
      </c>
      <c r="E23" s="35" t="s">
        <v>167</v>
      </c>
      <c r="H23" s="35" t="s">
        <v>165</v>
      </c>
      <c r="I23" s="35" t="s">
        <v>167</v>
      </c>
      <c r="N23" s="35" t="s">
        <v>166</v>
      </c>
      <c r="O23" s="35" t="s">
        <v>167</v>
      </c>
    </row>
    <row r="24" spans="4:15" x14ac:dyDescent="0.2">
      <c r="D24">
        <f>(B5*100)/B11</f>
        <v>66.633565044687188</v>
      </c>
      <c r="E24">
        <v>49</v>
      </c>
      <c r="H24">
        <f>(D5*100)/D11</f>
        <v>53.328050713153722</v>
      </c>
      <c r="I24">
        <v>49</v>
      </c>
      <c r="N24">
        <f>(F5*100)/F11</f>
        <v>10.136157337367624</v>
      </c>
      <c r="O24">
        <v>49</v>
      </c>
    </row>
    <row r="25" spans="4:15" x14ac:dyDescent="0.2">
      <c r="D25">
        <f>(B6*100)/B11</f>
        <v>19.894074809665675</v>
      </c>
      <c r="E25">
        <v>59</v>
      </c>
      <c r="H25">
        <f>(D6*100)/D11</f>
        <v>27.020602218700475</v>
      </c>
      <c r="I25">
        <v>59</v>
      </c>
      <c r="N25">
        <f>(F6*100)/F11</f>
        <v>4.5385779122541603</v>
      </c>
      <c r="O25">
        <v>59</v>
      </c>
    </row>
    <row r="26" spans="4:15" x14ac:dyDescent="0.2">
      <c r="D26">
        <f>(B7*100)/B11</f>
        <v>10.493214167494207</v>
      </c>
      <c r="E26">
        <v>69</v>
      </c>
      <c r="H26">
        <f>(D7*100)/D11</f>
        <v>17.194928684627577</v>
      </c>
      <c r="I26">
        <v>69</v>
      </c>
      <c r="N26">
        <f>(F7*100)/F13</f>
        <v>7.1481481481481479</v>
      </c>
      <c r="O26">
        <v>69</v>
      </c>
    </row>
    <row r="27" spans="4:15" x14ac:dyDescent="0.2">
      <c r="D27">
        <f>(B8*100)/B11</f>
        <v>2.0854021847070507</v>
      </c>
      <c r="E27">
        <v>79</v>
      </c>
      <c r="H27">
        <f>(D8*100)/D11</f>
        <v>1.2678288431061806</v>
      </c>
      <c r="I27">
        <v>79</v>
      </c>
      <c r="N27">
        <f>(F8*100)/F11</f>
        <v>37.821482602118003</v>
      </c>
      <c r="O27">
        <v>79</v>
      </c>
    </row>
    <row r="28" spans="4:15" x14ac:dyDescent="0.2">
      <c r="D28">
        <f>(B9*100)/B11</f>
        <v>0.49652432969215493</v>
      </c>
      <c r="E28">
        <v>89</v>
      </c>
      <c r="H28">
        <f>(D9*100)/D11</f>
        <v>0.95087163232963545</v>
      </c>
      <c r="I28">
        <v>89</v>
      </c>
      <c r="N28">
        <f>(F9*100)/F11</f>
        <v>33.787191124558753</v>
      </c>
      <c r="O28">
        <v>89</v>
      </c>
    </row>
    <row r="29" spans="4:15" x14ac:dyDescent="0.2">
      <c r="D29">
        <f>(B10*100)/B11</f>
        <v>0.39721946375372391</v>
      </c>
      <c r="E29">
        <v>99</v>
      </c>
      <c r="H29">
        <f>(D10*100)/D11</f>
        <v>0.23771790808240886</v>
      </c>
      <c r="I29">
        <v>99</v>
      </c>
      <c r="N29">
        <f>(F10*100)/F11</f>
        <v>3.9838628340897628</v>
      </c>
      <c r="O29">
        <v>99</v>
      </c>
    </row>
    <row r="47" spans="4:16" x14ac:dyDescent="0.2">
      <c r="D47" t="s">
        <v>175</v>
      </c>
      <c r="E47">
        <v>49</v>
      </c>
      <c r="H47" t="s">
        <v>175</v>
      </c>
      <c r="I47">
        <v>49</v>
      </c>
      <c r="O47" t="s">
        <v>175</v>
      </c>
      <c r="P47" t="s">
        <v>177</v>
      </c>
    </row>
    <row r="48" spans="4:16" x14ac:dyDescent="0.2">
      <c r="D48" t="s">
        <v>42</v>
      </c>
      <c r="E48">
        <v>2013</v>
      </c>
      <c r="H48" t="s">
        <v>42</v>
      </c>
      <c r="I48">
        <v>673</v>
      </c>
      <c r="O48" t="s">
        <v>176</v>
      </c>
      <c r="P48">
        <v>670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A1B9B-C7B4-164C-87A3-6DE080182418}">
  <dimension ref="A1:H85"/>
  <sheetViews>
    <sheetView zoomScale="140" workbookViewId="0">
      <selection activeCell="G42" sqref="G42:H43"/>
    </sheetView>
  </sheetViews>
  <sheetFormatPr baseColWidth="10" defaultRowHeight="16" x14ac:dyDescent="0.2"/>
  <cols>
    <col min="1" max="1" width="25.5" bestFit="1" customWidth="1"/>
    <col min="2" max="2" width="26.5" customWidth="1"/>
    <col min="3" max="3" width="16.83203125" customWidth="1"/>
    <col min="4" max="4" width="18" bestFit="1" customWidth="1"/>
    <col min="5" max="5" width="12" bestFit="1" customWidth="1"/>
  </cols>
  <sheetData>
    <row r="1" spans="1:5" x14ac:dyDescent="0.2">
      <c r="A1" t="s">
        <v>46</v>
      </c>
    </row>
    <row r="2" spans="1:5" x14ac:dyDescent="0.2">
      <c r="B2" t="s">
        <v>47</v>
      </c>
      <c r="C2" t="s">
        <v>48</v>
      </c>
    </row>
    <row r="3" spans="1:5" x14ac:dyDescent="0.2">
      <c r="B3" t="s">
        <v>49</v>
      </c>
      <c r="C3" t="s">
        <v>50</v>
      </c>
    </row>
    <row r="4" spans="1:5" x14ac:dyDescent="0.2">
      <c r="B4" t="s">
        <v>39</v>
      </c>
      <c r="C4" t="s">
        <v>51</v>
      </c>
    </row>
    <row r="7" spans="1:5" x14ac:dyDescent="0.2">
      <c r="A7" t="s">
        <v>41</v>
      </c>
    </row>
    <row r="8" spans="1:5" ht="17" thickBot="1" x14ac:dyDescent="0.25">
      <c r="A8" t="s">
        <v>53</v>
      </c>
      <c r="B8" t="s">
        <v>54</v>
      </c>
      <c r="C8" t="s">
        <v>42</v>
      </c>
      <c r="D8" t="s">
        <v>55</v>
      </c>
      <c r="E8" t="s">
        <v>39</v>
      </c>
    </row>
    <row r="9" spans="1:5" ht="17" thickBot="1" x14ac:dyDescent="0.25">
      <c r="B9" s="2">
        <v>49</v>
      </c>
      <c r="C9" s="3">
        <v>13</v>
      </c>
      <c r="D9" s="3">
        <v>48</v>
      </c>
      <c r="E9" s="3">
        <v>0</v>
      </c>
    </row>
    <row r="10" spans="1:5" ht="17" thickBot="1" x14ac:dyDescent="0.25">
      <c r="B10" s="4">
        <v>50</v>
      </c>
      <c r="C10" s="5">
        <v>19</v>
      </c>
      <c r="D10" s="5">
        <v>60</v>
      </c>
      <c r="E10" s="5">
        <v>0</v>
      </c>
    </row>
    <row r="11" spans="1:5" ht="17" thickBot="1" x14ac:dyDescent="0.25">
      <c r="B11" s="4">
        <v>51</v>
      </c>
      <c r="C11" s="5">
        <v>23</v>
      </c>
      <c r="D11" s="5">
        <v>60</v>
      </c>
      <c r="E11" s="5">
        <v>1</v>
      </c>
    </row>
    <row r="12" spans="1:5" ht="17" thickBot="1" x14ac:dyDescent="0.25">
      <c r="B12" s="4">
        <v>52</v>
      </c>
      <c r="C12" s="5">
        <v>28</v>
      </c>
      <c r="D12" s="5">
        <v>59</v>
      </c>
      <c r="E12" s="5">
        <v>1</v>
      </c>
    </row>
    <row r="13" spans="1:5" ht="17" thickBot="1" x14ac:dyDescent="0.25">
      <c r="B13" s="4">
        <v>53</v>
      </c>
      <c r="C13" s="5">
        <v>30</v>
      </c>
      <c r="D13" s="5">
        <v>50</v>
      </c>
      <c r="E13" s="5">
        <v>1</v>
      </c>
    </row>
    <row r="14" spans="1:5" ht="17" thickBot="1" x14ac:dyDescent="0.25">
      <c r="B14" s="4">
        <v>54</v>
      </c>
      <c r="C14" s="5">
        <v>36</v>
      </c>
      <c r="D14" s="5">
        <v>45</v>
      </c>
      <c r="E14" s="5">
        <v>1</v>
      </c>
    </row>
    <row r="15" spans="1:5" ht="17" thickBot="1" x14ac:dyDescent="0.25">
      <c r="B15" s="4">
        <v>55</v>
      </c>
      <c r="C15" s="5">
        <v>39</v>
      </c>
      <c r="D15" s="5">
        <v>41</v>
      </c>
      <c r="E15" s="5">
        <v>1</v>
      </c>
    </row>
    <row r="16" spans="1:5" ht="17" thickBot="1" x14ac:dyDescent="0.25">
      <c r="B16" s="4">
        <v>56</v>
      </c>
      <c r="C16" s="5">
        <v>39</v>
      </c>
      <c r="D16" s="5">
        <v>41</v>
      </c>
      <c r="E16" s="5">
        <v>1</v>
      </c>
    </row>
    <row r="17" spans="2:8" ht="17" thickBot="1" x14ac:dyDescent="0.25">
      <c r="B17" s="4">
        <v>57</v>
      </c>
      <c r="C17" s="5">
        <v>44</v>
      </c>
      <c r="D17" s="5">
        <v>30</v>
      </c>
      <c r="E17" s="5">
        <v>1</v>
      </c>
    </row>
    <row r="18" spans="2:8" ht="17" thickBot="1" x14ac:dyDescent="0.25">
      <c r="B18" s="4">
        <v>58</v>
      </c>
      <c r="C18" s="5">
        <v>44</v>
      </c>
      <c r="D18" s="5">
        <v>24</v>
      </c>
      <c r="E18" s="5">
        <v>3</v>
      </c>
    </row>
    <row r="19" spans="2:8" ht="17" thickBot="1" x14ac:dyDescent="0.25">
      <c r="B19" s="4">
        <v>59</v>
      </c>
      <c r="C19" s="5">
        <v>45</v>
      </c>
      <c r="D19" s="5">
        <v>22</v>
      </c>
      <c r="E19" s="5">
        <v>3</v>
      </c>
    </row>
    <row r="20" spans="2:8" ht="17" thickBot="1" x14ac:dyDescent="0.25">
      <c r="B20" s="4">
        <v>60</v>
      </c>
      <c r="C20" s="5">
        <v>48</v>
      </c>
      <c r="D20" s="5">
        <v>22</v>
      </c>
      <c r="E20" s="5">
        <v>4</v>
      </c>
    </row>
    <row r="21" spans="2:8" ht="17" thickBot="1" x14ac:dyDescent="0.25">
      <c r="B21" s="4">
        <v>61</v>
      </c>
      <c r="C21" s="5">
        <v>50</v>
      </c>
      <c r="D21" s="5">
        <v>17</v>
      </c>
      <c r="E21" s="5">
        <v>4</v>
      </c>
    </row>
    <row r="22" spans="2:8" ht="17" thickBot="1" x14ac:dyDescent="0.25">
      <c r="B22" s="4">
        <v>62</v>
      </c>
      <c r="C22" s="5">
        <v>52</v>
      </c>
      <c r="D22" s="5">
        <v>15</v>
      </c>
      <c r="E22" s="5">
        <v>5</v>
      </c>
    </row>
    <row r="23" spans="2:8" ht="17" thickBot="1" x14ac:dyDescent="0.25">
      <c r="B23" s="4">
        <v>63</v>
      </c>
      <c r="C23" s="5">
        <v>52</v>
      </c>
      <c r="D23" s="5">
        <v>13</v>
      </c>
      <c r="E23" s="5">
        <v>16</v>
      </c>
    </row>
    <row r="24" spans="2:8" ht="17" thickBot="1" x14ac:dyDescent="0.25">
      <c r="B24" s="4">
        <v>64</v>
      </c>
      <c r="C24" s="5">
        <v>53</v>
      </c>
      <c r="D24" s="5">
        <v>13</v>
      </c>
      <c r="E24" s="5">
        <v>25</v>
      </c>
      <c r="G24" t="s">
        <v>170</v>
      </c>
      <c r="H24" t="s">
        <v>171</v>
      </c>
    </row>
    <row r="25" spans="2:8" ht="17" thickBot="1" x14ac:dyDescent="0.25">
      <c r="B25" s="4">
        <v>65</v>
      </c>
      <c r="C25" s="5">
        <v>51</v>
      </c>
      <c r="D25" s="5">
        <v>13</v>
      </c>
      <c r="E25" s="5">
        <v>60</v>
      </c>
      <c r="G25" t="s">
        <v>172</v>
      </c>
      <c r="H25" s="8">
        <v>51</v>
      </c>
    </row>
    <row r="26" spans="2:8" ht="17" thickBot="1" x14ac:dyDescent="0.25">
      <c r="B26" s="4">
        <v>66</v>
      </c>
      <c r="C26" s="5">
        <v>49</v>
      </c>
      <c r="D26" s="5">
        <v>11</v>
      </c>
      <c r="E26" s="5">
        <v>60</v>
      </c>
    </row>
    <row r="27" spans="2:8" ht="17" thickBot="1" x14ac:dyDescent="0.25">
      <c r="B27" s="4">
        <v>67</v>
      </c>
      <c r="C27" s="5">
        <v>45</v>
      </c>
      <c r="D27" s="5">
        <v>9</v>
      </c>
      <c r="E27" s="5">
        <v>59</v>
      </c>
    </row>
    <row r="28" spans="2:8" ht="17" thickBot="1" x14ac:dyDescent="0.25">
      <c r="B28" s="4">
        <v>68</v>
      </c>
      <c r="C28" s="5">
        <v>39</v>
      </c>
      <c r="D28" s="5">
        <v>8</v>
      </c>
      <c r="E28" s="5">
        <v>50</v>
      </c>
    </row>
    <row r="29" spans="2:8" ht="17" thickBot="1" x14ac:dyDescent="0.25">
      <c r="B29" s="4">
        <v>69</v>
      </c>
      <c r="C29" s="5">
        <v>30</v>
      </c>
      <c r="D29" s="5">
        <v>8</v>
      </c>
      <c r="E29" s="5">
        <v>45</v>
      </c>
    </row>
    <row r="30" spans="2:8" ht="17" thickBot="1" x14ac:dyDescent="0.25">
      <c r="B30" s="4">
        <v>70</v>
      </c>
      <c r="C30" s="5">
        <v>28</v>
      </c>
      <c r="D30" s="5">
        <v>8</v>
      </c>
      <c r="E30" s="5">
        <v>41</v>
      </c>
    </row>
    <row r="31" spans="2:8" ht="17" thickBot="1" x14ac:dyDescent="0.25">
      <c r="B31" s="4">
        <v>71</v>
      </c>
      <c r="C31" s="5">
        <v>26</v>
      </c>
      <c r="D31" s="5">
        <v>8</v>
      </c>
      <c r="E31" s="5">
        <v>41</v>
      </c>
    </row>
    <row r="32" spans="2:8" ht="17" thickBot="1" x14ac:dyDescent="0.25">
      <c r="B32" s="4">
        <v>72</v>
      </c>
      <c r="C32" s="5">
        <v>26</v>
      </c>
      <c r="D32" s="5">
        <v>8</v>
      </c>
      <c r="E32" s="5">
        <v>30</v>
      </c>
    </row>
    <row r="33" spans="2:8" ht="17" thickBot="1" x14ac:dyDescent="0.25">
      <c r="B33" s="4">
        <v>73</v>
      </c>
      <c r="C33" s="5">
        <v>21</v>
      </c>
      <c r="D33" s="5">
        <v>6</v>
      </c>
      <c r="E33" s="5">
        <v>24</v>
      </c>
    </row>
    <row r="34" spans="2:8" ht="17" thickBot="1" x14ac:dyDescent="0.25">
      <c r="B34" s="4">
        <v>74</v>
      </c>
      <c r="C34" s="5">
        <v>19</v>
      </c>
      <c r="D34" s="5">
        <v>5</v>
      </c>
      <c r="E34" s="5">
        <v>22</v>
      </c>
    </row>
    <row r="35" spans="2:8" ht="17" thickBot="1" x14ac:dyDescent="0.25">
      <c r="B35" s="4">
        <v>75</v>
      </c>
      <c r="C35" s="5">
        <v>17</v>
      </c>
      <c r="D35" s="5">
        <v>4</v>
      </c>
      <c r="E35" s="5">
        <v>22</v>
      </c>
    </row>
    <row r="36" spans="2:8" ht="17" thickBot="1" x14ac:dyDescent="0.25">
      <c r="B36" s="4">
        <v>76</v>
      </c>
      <c r="C36" s="5">
        <v>17</v>
      </c>
      <c r="D36" s="5">
        <v>3</v>
      </c>
      <c r="E36" s="5">
        <v>17</v>
      </c>
    </row>
    <row r="37" spans="2:8" ht="17" thickBot="1" x14ac:dyDescent="0.25">
      <c r="B37" s="4">
        <v>77</v>
      </c>
      <c r="C37" s="5">
        <v>17</v>
      </c>
      <c r="D37" s="5">
        <v>2</v>
      </c>
      <c r="E37" s="5">
        <v>15</v>
      </c>
    </row>
    <row r="38" spans="2:8" ht="17" thickBot="1" x14ac:dyDescent="0.25">
      <c r="B38" s="4">
        <v>78</v>
      </c>
      <c r="C38" s="5">
        <v>15</v>
      </c>
      <c r="D38" s="5">
        <v>1</v>
      </c>
      <c r="E38" s="5">
        <v>13</v>
      </c>
    </row>
    <row r="39" spans="2:8" ht="17" thickBot="1" x14ac:dyDescent="0.25">
      <c r="B39" s="4">
        <v>79</v>
      </c>
      <c r="C39" s="5">
        <v>12</v>
      </c>
      <c r="D39" s="5">
        <v>1</v>
      </c>
      <c r="E39" s="5">
        <v>13</v>
      </c>
    </row>
    <row r="40" spans="2:8" ht="17" thickBot="1" x14ac:dyDescent="0.25">
      <c r="B40" s="4">
        <v>80</v>
      </c>
      <c r="C40" s="5">
        <v>12</v>
      </c>
      <c r="D40" s="5">
        <v>1</v>
      </c>
      <c r="E40" s="5">
        <v>13</v>
      </c>
    </row>
    <row r="41" spans="2:8" ht="17" thickBot="1" x14ac:dyDescent="0.25">
      <c r="B41" s="4">
        <v>81</v>
      </c>
      <c r="C41" s="5">
        <v>10</v>
      </c>
      <c r="D41" s="5">
        <v>1</v>
      </c>
      <c r="E41" s="5">
        <v>11</v>
      </c>
    </row>
    <row r="42" spans="2:8" ht="17" thickBot="1" x14ac:dyDescent="0.25">
      <c r="B42" s="4">
        <v>82</v>
      </c>
      <c r="C42" s="5">
        <v>8</v>
      </c>
      <c r="D42" s="5">
        <v>1</v>
      </c>
      <c r="E42" s="5">
        <v>8</v>
      </c>
      <c r="G42" t="s">
        <v>173</v>
      </c>
      <c r="H42" s="8">
        <v>52</v>
      </c>
    </row>
    <row r="43" spans="2:8" ht="17" thickBot="1" x14ac:dyDescent="0.25">
      <c r="B43" s="4">
        <v>83</v>
      </c>
      <c r="C43" s="5">
        <v>5</v>
      </c>
      <c r="D43" s="5">
        <v>1</v>
      </c>
      <c r="E43" s="5">
        <v>8</v>
      </c>
      <c r="G43" t="s">
        <v>174</v>
      </c>
      <c r="H43" s="8">
        <v>59</v>
      </c>
    </row>
    <row r="44" spans="2:8" ht="17" thickBot="1" x14ac:dyDescent="0.25">
      <c r="B44" s="4">
        <v>84</v>
      </c>
      <c r="C44" s="5">
        <v>5</v>
      </c>
      <c r="D44" s="5">
        <v>1</v>
      </c>
      <c r="E44" s="5">
        <v>7</v>
      </c>
    </row>
    <row r="45" spans="2:8" ht="17" thickBot="1" x14ac:dyDescent="0.25">
      <c r="B45" s="4">
        <v>85</v>
      </c>
      <c r="C45" s="5">
        <v>5</v>
      </c>
      <c r="D45" s="5">
        <v>1</v>
      </c>
      <c r="E45" s="5">
        <v>7</v>
      </c>
    </row>
    <row r="46" spans="2:8" ht="17" thickBot="1" x14ac:dyDescent="0.25">
      <c r="B46" s="4">
        <v>86</v>
      </c>
      <c r="C46" s="5">
        <v>5</v>
      </c>
      <c r="D46" s="5">
        <v>1</v>
      </c>
      <c r="E46" s="5">
        <v>6</v>
      </c>
    </row>
    <row r="47" spans="2:8" ht="17" thickBot="1" x14ac:dyDescent="0.25">
      <c r="B47" s="4">
        <v>87</v>
      </c>
      <c r="C47" s="5">
        <v>4</v>
      </c>
      <c r="D47" s="5">
        <v>1</v>
      </c>
      <c r="E47" s="5">
        <v>5</v>
      </c>
    </row>
    <row r="48" spans="2:8" ht="17" thickBot="1" x14ac:dyDescent="0.25">
      <c r="B48" s="4">
        <v>88</v>
      </c>
      <c r="C48" s="5">
        <v>4</v>
      </c>
      <c r="D48" s="5">
        <v>1</v>
      </c>
      <c r="E48" s="5">
        <v>5</v>
      </c>
    </row>
    <row r="49" spans="1:8" ht="17" thickBot="1" x14ac:dyDescent="0.25">
      <c r="B49" s="4">
        <v>89</v>
      </c>
      <c r="C49" s="5">
        <v>3</v>
      </c>
      <c r="D49" s="5">
        <v>0</v>
      </c>
      <c r="E49" s="5">
        <v>4</v>
      </c>
    </row>
    <row r="50" spans="1:8" ht="17" thickBot="1" x14ac:dyDescent="0.25">
      <c r="B50" s="4">
        <v>90</v>
      </c>
      <c r="C50" s="5">
        <v>3</v>
      </c>
      <c r="D50" s="5">
        <v>0</v>
      </c>
      <c r="E50" s="5">
        <v>4</v>
      </c>
    </row>
    <row r="51" spans="1:8" ht="17" thickBot="1" x14ac:dyDescent="0.25">
      <c r="B51" s="4">
        <v>91</v>
      </c>
      <c r="C51" s="5">
        <v>1</v>
      </c>
      <c r="D51" s="5">
        <v>0</v>
      </c>
      <c r="E51" s="5">
        <v>4</v>
      </c>
    </row>
    <row r="52" spans="1:8" ht="17" thickBot="1" x14ac:dyDescent="0.25">
      <c r="B52" s="4">
        <v>92</v>
      </c>
      <c r="C52" s="5">
        <v>1</v>
      </c>
      <c r="D52" s="5">
        <v>0</v>
      </c>
      <c r="E52" s="5">
        <v>3</v>
      </c>
    </row>
    <row r="53" spans="1:8" ht="17" thickBot="1" x14ac:dyDescent="0.25">
      <c r="B53" s="4">
        <v>93</v>
      </c>
      <c r="C53" s="5">
        <v>1</v>
      </c>
      <c r="D53" s="5">
        <v>0</v>
      </c>
      <c r="E53" s="5">
        <v>3</v>
      </c>
    </row>
    <row r="54" spans="1:8" ht="17" thickBot="1" x14ac:dyDescent="0.25">
      <c r="B54" s="4">
        <v>94</v>
      </c>
      <c r="C54" s="5">
        <v>1</v>
      </c>
      <c r="D54" s="5">
        <v>0</v>
      </c>
      <c r="E54" s="5">
        <v>3</v>
      </c>
    </row>
    <row r="55" spans="1:8" ht="17" thickBot="1" x14ac:dyDescent="0.25">
      <c r="B55" s="4">
        <v>95</v>
      </c>
      <c r="C55" s="5">
        <v>1</v>
      </c>
      <c r="D55" s="5">
        <v>0</v>
      </c>
      <c r="E55" s="5">
        <v>3</v>
      </c>
    </row>
    <row r="56" spans="1:8" ht="17" thickBot="1" x14ac:dyDescent="0.25">
      <c r="B56" s="4">
        <v>96</v>
      </c>
      <c r="C56" s="5">
        <v>1</v>
      </c>
      <c r="D56" s="5">
        <v>0</v>
      </c>
      <c r="E56" s="5">
        <v>3</v>
      </c>
    </row>
    <row r="57" spans="1:8" ht="17" thickBot="1" x14ac:dyDescent="0.25">
      <c r="B57" s="4">
        <v>97</v>
      </c>
      <c r="C57" s="5">
        <v>1</v>
      </c>
      <c r="D57" s="5">
        <v>0</v>
      </c>
      <c r="E57" s="5">
        <v>2</v>
      </c>
    </row>
    <row r="58" spans="1:8" ht="17" thickBot="1" x14ac:dyDescent="0.25">
      <c r="B58" s="4">
        <v>98</v>
      </c>
      <c r="C58" s="5">
        <v>1</v>
      </c>
      <c r="D58" s="5">
        <v>0</v>
      </c>
      <c r="E58" s="5">
        <v>2</v>
      </c>
    </row>
    <row r="59" spans="1:8" ht="17" thickBot="1" x14ac:dyDescent="0.25">
      <c r="B59" s="4">
        <v>99</v>
      </c>
      <c r="C59" s="5">
        <v>1</v>
      </c>
      <c r="D59" s="5">
        <v>0</v>
      </c>
      <c r="E59" s="5">
        <v>2</v>
      </c>
    </row>
    <row r="60" spans="1:8" ht="17" thickBot="1" x14ac:dyDescent="0.25">
      <c r="B60" s="4">
        <v>100</v>
      </c>
      <c r="C60" s="5">
        <v>0</v>
      </c>
      <c r="D60" s="5">
        <v>0</v>
      </c>
      <c r="E60" s="5">
        <v>2</v>
      </c>
    </row>
    <row r="61" spans="1:8" ht="17" thickBot="1" x14ac:dyDescent="0.25">
      <c r="G61" t="s">
        <v>173</v>
      </c>
      <c r="H61">
        <v>67</v>
      </c>
    </row>
    <row r="62" spans="1:8" ht="17" thickBot="1" x14ac:dyDescent="0.25">
      <c r="A62" t="s">
        <v>44</v>
      </c>
      <c r="C62" s="6">
        <v>1100</v>
      </c>
      <c r="D62" s="7">
        <v>664</v>
      </c>
      <c r="E62" s="7">
        <v>684</v>
      </c>
      <c r="G62" t="s">
        <v>174</v>
      </c>
      <c r="H62" s="36">
        <v>59</v>
      </c>
    </row>
    <row r="63" spans="1:8" x14ac:dyDescent="0.2">
      <c r="A63" t="s">
        <v>56</v>
      </c>
      <c r="E63" s="8">
        <v>2448</v>
      </c>
    </row>
    <row r="64" spans="1:8" x14ac:dyDescent="0.2">
      <c r="A64" t="s">
        <v>45</v>
      </c>
      <c r="E64" s="8">
        <v>2700</v>
      </c>
    </row>
    <row r="67" spans="1:3" x14ac:dyDescent="0.2">
      <c r="A67" s="9" t="s">
        <v>57</v>
      </c>
    </row>
    <row r="69" spans="1:3" x14ac:dyDescent="0.2">
      <c r="A69" s="10" t="s">
        <v>58</v>
      </c>
    </row>
    <row r="70" spans="1:3" x14ac:dyDescent="0.2">
      <c r="A70" t="s">
        <v>59</v>
      </c>
    </row>
    <row r="71" spans="1:3" x14ac:dyDescent="0.2">
      <c r="A71" t="s">
        <v>60</v>
      </c>
    </row>
    <row r="79" spans="1:3" x14ac:dyDescent="0.2">
      <c r="B79" s="35" t="s">
        <v>167</v>
      </c>
      <c r="C79" t="s">
        <v>169</v>
      </c>
    </row>
    <row r="80" spans="1:3" x14ac:dyDescent="0.2">
      <c r="B80">
        <v>49</v>
      </c>
      <c r="C80">
        <v>13</v>
      </c>
    </row>
    <row r="81" spans="2:2" x14ac:dyDescent="0.2">
      <c r="B81">
        <v>59</v>
      </c>
    </row>
    <row r="82" spans="2:2" x14ac:dyDescent="0.2">
      <c r="B82">
        <v>69</v>
      </c>
    </row>
    <row r="83" spans="2:2" x14ac:dyDescent="0.2">
      <c r="B83">
        <v>79</v>
      </c>
    </row>
    <row r="84" spans="2:2" x14ac:dyDescent="0.2">
      <c r="B84">
        <v>89</v>
      </c>
    </row>
    <row r="85" spans="2:2" x14ac:dyDescent="0.2">
      <c r="B85">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48FA7-4F06-6641-A0DD-F31834705A0D}">
  <dimension ref="A1:E51"/>
  <sheetViews>
    <sheetView tabSelected="1" workbookViewId="0">
      <selection activeCell="R24" sqref="R24"/>
    </sheetView>
  </sheetViews>
  <sheetFormatPr baseColWidth="10" defaultRowHeight="16" x14ac:dyDescent="0.2"/>
  <cols>
    <col min="17" max="17" width="16.1640625" customWidth="1"/>
    <col min="18" max="18" width="14.33203125" customWidth="1"/>
    <col min="19" max="19" width="14.5" customWidth="1"/>
  </cols>
  <sheetData>
    <row r="1" spans="1:5" x14ac:dyDescent="0.2">
      <c r="A1" s="11" t="s">
        <v>41</v>
      </c>
    </row>
    <row r="3" spans="1:5" x14ac:dyDescent="0.2">
      <c r="A3" s="12" t="s">
        <v>61</v>
      </c>
    </row>
    <row r="4" spans="1:5" x14ac:dyDescent="0.2">
      <c r="A4" s="12" t="s">
        <v>62</v>
      </c>
    </row>
    <row r="5" spans="1:5" x14ac:dyDescent="0.2">
      <c r="A5" s="12" t="s">
        <v>63</v>
      </c>
    </row>
    <row r="6" spans="1:5" x14ac:dyDescent="0.2">
      <c r="A6" s="12" t="s">
        <v>64</v>
      </c>
    </row>
    <row r="11" spans="1:5" ht="17" thickBot="1" x14ac:dyDescent="0.25"/>
    <row r="12" spans="1:5" ht="17" thickBot="1" x14ac:dyDescent="0.25">
      <c r="A12" s="13" t="s">
        <v>65</v>
      </c>
      <c r="B12" s="14" t="s">
        <v>66</v>
      </c>
      <c r="C12" s="14" t="s">
        <v>67</v>
      </c>
      <c r="D12" s="14" t="s">
        <v>68</v>
      </c>
      <c r="E12" s="14" t="s">
        <v>69</v>
      </c>
    </row>
    <row r="13" spans="1:5" ht="17" thickBot="1" x14ac:dyDescent="0.25">
      <c r="A13" s="15">
        <v>45</v>
      </c>
      <c r="B13" s="16">
        <v>80</v>
      </c>
      <c r="C13" s="16">
        <v>85</v>
      </c>
      <c r="D13" s="16">
        <v>0</v>
      </c>
      <c r="E13" s="16">
        <v>0</v>
      </c>
    </row>
    <row r="14" spans="1:5" ht="17" thickBot="1" x14ac:dyDescent="0.25">
      <c r="A14" s="15">
        <v>46</v>
      </c>
      <c r="B14" s="16">
        <v>73</v>
      </c>
      <c r="C14" s="16">
        <v>78</v>
      </c>
      <c r="D14" s="16">
        <v>0</v>
      </c>
      <c r="E14" s="16">
        <v>0</v>
      </c>
    </row>
    <row r="15" spans="1:5" ht="17" thickBot="1" x14ac:dyDescent="0.25">
      <c r="A15" s="15">
        <v>47</v>
      </c>
      <c r="B15" s="16">
        <v>70</v>
      </c>
      <c r="C15" s="16">
        <v>67</v>
      </c>
      <c r="D15" s="16">
        <v>0</v>
      </c>
      <c r="E15" s="16">
        <v>3</v>
      </c>
    </row>
    <row r="16" spans="1:5" ht="17" thickBot="1" x14ac:dyDescent="0.25">
      <c r="A16" s="15">
        <v>48</v>
      </c>
      <c r="B16" s="16">
        <v>59</v>
      </c>
      <c r="C16" s="16">
        <v>65</v>
      </c>
      <c r="D16" s="16">
        <v>0</v>
      </c>
      <c r="E16" s="16">
        <v>3</v>
      </c>
    </row>
    <row r="17" spans="1:5" ht="17" thickBot="1" x14ac:dyDescent="0.25">
      <c r="A17" s="15">
        <v>49</v>
      </c>
      <c r="B17" s="16">
        <v>55</v>
      </c>
      <c r="C17" s="16">
        <v>60</v>
      </c>
      <c r="D17" s="16">
        <v>1</v>
      </c>
      <c r="E17" s="16">
        <v>3</v>
      </c>
    </row>
    <row r="18" spans="1:5" ht="17" thickBot="1" x14ac:dyDescent="0.25">
      <c r="A18" s="15">
        <v>50</v>
      </c>
      <c r="B18" s="16">
        <v>45</v>
      </c>
      <c r="C18" s="16">
        <v>58</v>
      </c>
      <c r="D18" s="16">
        <v>2</v>
      </c>
      <c r="E18" s="16">
        <v>3</v>
      </c>
    </row>
    <row r="19" spans="1:5" ht="17" thickBot="1" x14ac:dyDescent="0.25">
      <c r="A19" s="15">
        <v>51</v>
      </c>
      <c r="B19" s="16">
        <v>27</v>
      </c>
      <c r="C19" s="16">
        <v>57</v>
      </c>
      <c r="D19" s="16">
        <v>3</v>
      </c>
      <c r="E19" s="16">
        <v>4</v>
      </c>
    </row>
    <row r="20" spans="1:5" ht="17" thickBot="1" x14ac:dyDescent="0.25">
      <c r="A20" s="15">
        <v>52</v>
      </c>
      <c r="B20" s="16">
        <v>27</v>
      </c>
      <c r="C20" s="16">
        <v>55</v>
      </c>
      <c r="D20" s="16">
        <v>5</v>
      </c>
      <c r="E20" s="16">
        <v>4</v>
      </c>
    </row>
    <row r="21" spans="1:5" ht="17" thickBot="1" x14ac:dyDescent="0.25">
      <c r="A21" s="15">
        <v>53</v>
      </c>
      <c r="B21" s="16">
        <v>28</v>
      </c>
      <c r="C21" s="16">
        <v>54</v>
      </c>
      <c r="D21" s="16">
        <v>12</v>
      </c>
      <c r="E21" s="16">
        <v>4</v>
      </c>
    </row>
    <row r="22" spans="1:5" ht="17" thickBot="1" x14ac:dyDescent="0.25">
      <c r="A22" s="15">
        <v>54</v>
      </c>
      <c r="B22" s="16">
        <v>29</v>
      </c>
      <c r="C22" s="16">
        <v>55</v>
      </c>
      <c r="D22" s="16">
        <v>12</v>
      </c>
      <c r="E22" s="16">
        <v>4</v>
      </c>
    </row>
    <row r="23" spans="1:5" ht="17" thickBot="1" x14ac:dyDescent="0.25">
      <c r="A23" s="15">
        <v>55</v>
      </c>
      <c r="B23" s="16">
        <v>30</v>
      </c>
      <c r="C23" s="16">
        <v>49</v>
      </c>
      <c r="D23" s="16">
        <v>12</v>
      </c>
      <c r="E23" s="16">
        <v>4</v>
      </c>
    </row>
    <row r="24" spans="1:5" ht="17" thickBot="1" x14ac:dyDescent="0.25">
      <c r="A24" s="15">
        <v>56</v>
      </c>
      <c r="B24" s="16">
        <v>30</v>
      </c>
      <c r="C24" s="16">
        <v>48</v>
      </c>
      <c r="D24" s="16">
        <v>15</v>
      </c>
      <c r="E24" s="16">
        <v>5</v>
      </c>
    </row>
    <row r="25" spans="1:5" ht="17" thickBot="1" x14ac:dyDescent="0.25">
      <c r="A25" s="15">
        <v>57</v>
      </c>
      <c r="B25" s="16">
        <v>28</v>
      </c>
      <c r="C25" s="16">
        <v>47</v>
      </c>
      <c r="D25" s="16">
        <v>16</v>
      </c>
      <c r="E25" s="16">
        <v>6</v>
      </c>
    </row>
    <row r="26" spans="1:5" ht="17" thickBot="1" x14ac:dyDescent="0.25">
      <c r="A26" s="15">
        <v>58</v>
      </c>
      <c r="B26" s="16">
        <v>28</v>
      </c>
      <c r="C26" s="16">
        <v>40</v>
      </c>
      <c r="D26" s="16">
        <v>18</v>
      </c>
      <c r="E26" s="16">
        <v>5</v>
      </c>
    </row>
    <row r="27" spans="1:5" ht="17" thickBot="1" x14ac:dyDescent="0.25">
      <c r="A27" s="15">
        <v>59</v>
      </c>
      <c r="B27" s="16">
        <v>27</v>
      </c>
      <c r="C27" s="16">
        <v>39</v>
      </c>
      <c r="D27" s="16">
        <v>19</v>
      </c>
      <c r="E27" s="16">
        <v>12</v>
      </c>
    </row>
    <row r="28" spans="1:5" ht="17" thickBot="1" x14ac:dyDescent="0.25">
      <c r="A28" s="15">
        <v>60</v>
      </c>
      <c r="B28" s="16">
        <v>27</v>
      </c>
      <c r="C28" s="16">
        <v>37</v>
      </c>
      <c r="D28" s="16">
        <v>22</v>
      </c>
      <c r="E28" s="16">
        <v>12</v>
      </c>
    </row>
    <row r="29" spans="1:5" ht="17" thickBot="1" x14ac:dyDescent="0.25">
      <c r="A29" s="15">
        <v>61</v>
      </c>
      <c r="B29" s="16">
        <v>26</v>
      </c>
      <c r="C29" s="16">
        <v>37</v>
      </c>
      <c r="D29" s="16">
        <v>24</v>
      </c>
      <c r="E29" s="16">
        <v>12</v>
      </c>
    </row>
    <row r="30" spans="1:5" ht="17" thickBot="1" x14ac:dyDescent="0.25">
      <c r="A30" s="15">
        <v>62</v>
      </c>
      <c r="B30" s="16">
        <v>26</v>
      </c>
      <c r="C30" s="16">
        <v>36</v>
      </c>
      <c r="D30" s="16">
        <v>34</v>
      </c>
      <c r="E30" s="16">
        <v>14</v>
      </c>
    </row>
    <row r="31" spans="1:5" ht="17" thickBot="1" x14ac:dyDescent="0.25">
      <c r="A31" s="15">
        <v>63</v>
      </c>
      <c r="B31" s="16">
        <v>20</v>
      </c>
      <c r="C31" s="16">
        <v>35</v>
      </c>
      <c r="D31" s="16">
        <v>36</v>
      </c>
      <c r="E31" s="16">
        <v>16</v>
      </c>
    </row>
    <row r="32" spans="1:5" ht="17" thickBot="1" x14ac:dyDescent="0.25">
      <c r="A32" s="15">
        <v>64</v>
      </c>
      <c r="B32" s="16">
        <v>20</v>
      </c>
      <c r="C32" s="16">
        <v>34</v>
      </c>
      <c r="D32" s="16">
        <v>39</v>
      </c>
      <c r="E32" s="16">
        <v>26</v>
      </c>
    </row>
    <row r="33" spans="1:5" ht="17" thickBot="1" x14ac:dyDescent="0.25">
      <c r="A33" s="15">
        <v>65</v>
      </c>
      <c r="B33" s="16">
        <v>19</v>
      </c>
      <c r="C33" s="16">
        <v>33</v>
      </c>
      <c r="D33" s="16">
        <v>45</v>
      </c>
      <c r="E33" s="16">
        <v>30</v>
      </c>
    </row>
    <row r="34" spans="1:5" ht="17" thickBot="1" x14ac:dyDescent="0.25">
      <c r="A34" s="15">
        <v>66</v>
      </c>
      <c r="B34" s="16">
        <v>8</v>
      </c>
      <c r="C34" s="16">
        <v>30</v>
      </c>
      <c r="D34" s="16">
        <v>48</v>
      </c>
      <c r="E34" s="16">
        <v>34</v>
      </c>
    </row>
    <row r="35" spans="1:5" ht="17" thickBot="1" x14ac:dyDescent="0.25">
      <c r="A35" s="15">
        <v>67</v>
      </c>
      <c r="B35" s="16">
        <v>7</v>
      </c>
      <c r="C35" s="16">
        <v>26</v>
      </c>
      <c r="D35" s="16">
        <v>56</v>
      </c>
      <c r="E35" s="16">
        <v>40</v>
      </c>
    </row>
    <row r="36" spans="1:5" ht="17" thickBot="1" x14ac:dyDescent="0.25">
      <c r="A36" s="15">
        <v>68</v>
      </c>
      <c r="B36" s="16">
        <v>6</v>
      </c>
      <c r="C36" s="16">
        <v>22</v>
      </c>
      <c r="D36" s="16">
        <v>59</v>
      </c>
      <c r="E36" s="16">
        <v>50</v>
      </c>
    </row>
    <row r="37" spans="1:5" ht="17" thickBot="1" x14ac:dyDescent="0.25">
      <c r="A37" s="15">
        <v>69</v>
      </c>
      <c r="B37" s="16">
        <v>5</v>
      </c>
      <c r="C37" s="16">
        <v>20</v>
      </c>
      <c r="D37" s="16">
        <v>70</v>
      </c>
      <c r="E37" s="16">
        <v>55</v>
      </c>
    </row>
    <row r="38" spans="1:5" ht="17" thickBot="1" x14ac:dyDescent="0.25">
      <c r="A38" s="15">
        <v>70</v>
      </c>
      <c r="B38" s="16">
        <v>4</v>
      </c>
      <c r="C38" s="16">
        <v>19</v>
      </c>
      <c r="D38" s="16">
        <v>78</v>
      </c>
      <c r="E38" s="16">
        <v>56</v>
      </c>
    </row>
    <row r="39" spans="1:5" ht="17" thickBot="1" x14ac:dyDescent="0.25">
      <c r="A39" s="15">
        <v>71</v>
      </c>
      <c r="B39" s="16">
        <v>4</v>
      </c>
      <c r="C39" s="16">
        <v>11</v>
      </c>
      <c r="D39" s="16">
        <v>79</v>
      </c>
      <c r="E39" s="16">
        <v>67</v>
      </c>
    </row>
    <row r="40" spans="1:5" ht="17" thickBot="1" x14ac:dyDescent="0.25">
      <c r="A40" s="15">
        <v>72</v>
      </c>
      <c r="B40" s="16">
        <v>3</v>
      </c>
      <c r="C40" s="16">
        <v>12</v>
      </c>
      <c r="D40" s="16">
        <v>80</v>
      </c>
      <c r="E40" s="16">
        <v>65</v>
      </c>
    </row>
    <row r="41" spans="1:5" ht="17" thickBot="1" x14ac:dyDescent="0.25">
      <c r="A41" s="15">
        <v>73</v>
      </c>
      <c r="B41" s="16">
        <v>2</v>
      </c>
      <c r="C41" s="16">
        <v>25</v>
      </c>
      <c r="D41" s="16">
        <v>81</v>
      </c>
      <c r="E41" s="16">
        <v>66</v>
      </c>
    </row>
    <row r="42" spans="1:5" ht="17" thickBot="1" x14ac:dyDescent="0.25">
      <c r="A42" s="15">
        <v>74</v>
      </c>
      <c r="B42" s="16">
        <v>0</v>
      </c>
      <c r="C42" s="16">
        <v>45</v>
      </c>
      <c r="D42" s="16">
        <v>83</v>
      </c>
      <c r="E42" s="16">
        <v>67</v>
      </c>
    </row>
    <row r="43" spans="1:5" ht="17" thickBot="1" x14ac:dyDescent="0.25">
      <c r="A43" s="15">
        <v>75</v>
      </c>
      <c r="B43" s="16">
        <v>0</v>
      </c>
      <c r="C43" s="16">
        <v>78</v>
      </c>
      <c r="D43" s="16">
        <v>90</v>
      </c>
      <c r="E43" s="16">
        <v>68</v>
      </c>
    </row>
    <row r="44" spans="1:5" ht="17" thickBot="1" x14ac:dyDescent="0.25">
      <c r="A44" s="15">
        <v>76</v>
      </c>
      <c r="B44" s="16">
        <v>0</v>
      </c>
      <c r="C44" s="16">
        <v>87</v>
      </c>
      <c r="D44" s="16">
        <v>88</v>
      </c>
      <c r="E44" s="16">
        <v>69</v>
      </c>
    </row>
    <row r="45" spans="1:5" ht="17" thickBot="1" x14ac:dyDescent="0.25">
      <c r="A45" s="15">
        <v>77</v>
      </c>
      <c r="B45" s="16">
        <v>0</v>
      </c>
      <c r="C45" s="16">
        <v>65</v>
      </c>
      <c r="D45" s="16">
        <v>90</v>
      </c>
      <c r="E45" s="16">
        <v>89</v>
      </c>
    </row>
    <row r="46" spans="1:5" ht="17" thickBot="1" x14ac:dyDescent="0.25">
      <c r="A46" s="15">
        <v>78</v>
      </c>
      <c r="B46" s="16">
        <v>0</v>
      </c>
      <c r="C46" s="16">
        <v>45</v>
      </c>
      <c r="D46" s="16">
        <v>98</v>
      </c>
      <c r="E46" s="16">
        <v>113</v>
      </c>
    </row>
    <row r="47" spans="1:5" ht="17" thickBot="1" x14ac:dyDescent="0.25">
      <c r="A47" s="15">
        <v>79</v>
      </c>
      <c r="B47" s="16">
        <v>0</v>
      </c>
      <c r="C47" s="16">
        <v>34</v>
      </c>
      <c r="D47" s="16">
        <v>120</v>
      </c>
      <c r="E47" s="16">
        <v>135</v>
      </c>
    </row>
    <row r="48" spans="1:5" ht="17" thickBot="1" x14ac:dyDescent="0.25">
      <c r="A48" s="13" t="s">
        <v>70</v>
      </c>
      <c r="B48" s="17">
        <v>813</v>
      </c>
      <c r="C48" s="17">
        <v>1588</v>
      </c>
      <c r="D48" s="17">
        <v>1435</v>
      </c>
      <c r="E48" s="17">
        <v>1144</v>
      </c>
    </row>
    <row r="49" spans="1:5" ht="17" thickBot="1" x14ac:dyDescent="0.25">
      <c r="A49" s="18" t="s">
        <v>44</v>
      </c>
      <c r="B49" s="19"/>
      <c r="C49" s="19"/>
      <c r="D49" s="19"/>
      <c r="E49" s="20">
        <v>4980</v>
      </c>
    </row>
    <row r="50" spans="1:5" ht="17" thickBot="1" x14ac:dyDescent="0.25">
      <c r="A50" s="23" t="s">
        <v>71</v>
      </c>
      <c r="B50" s="24"/>
      <c r="C50" s="25"/>
      <c r="D50" s="19"/>
      <c r="E50" s="20">
        <v>1245</v>
      </c>
    </row>
    <row r="51" spans="1:5" ht="17" thickBot="1" x14ac:dyDescent="0.25">
      <c r="A51" s="26" t="s">
        <v>45</v>
      </c>
      <c r="B51" s="27"/>
      <c r="C51" s="21"/>
      <c r="D51" s="21"/>
      <c r="E51" s="22">
        <v>2700</v>
      </c>
    </row>
  </sheetData>
  <mergeCells count="2">
    <mergeCell ref="A50:C50"/>
    <mergeCell ref="A51:B5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4A55-28F8-5E4C-9D2D-9278C3B64C77}">
  <dimension ref="A1:K49"/>
  <sheetViews>
    <sheetView topLeftCell="A17" workbookViewId="0">
      <selection activeCell="J44" sqref="J44:K44"/>
    </sheetView>
  </sheetViews>
  <sheetFormatPr baseColWidth="10" defaultRowHeight="16" x14ac:dyDescent="0.2"/>
  <cols>
    <col min="1" max="1" width="18" customWidth="1"/>
    <col min="2" max="2" width="20.83203125" customWidth="1"/>
    <col min="3" max="3" width="19.83203125" customWidth="1"/>
    <col min="5" max="5" width="15.5" bestFit="1" customWidth="1"/>
    <col min="6" max="6" width="23.5" customWidth="1"/>
    <col min="7" max="7" width="23.1640625" customWidth="1"/>
    <col min="9" max="9" width="19.33203125" customWidth="1"/>
    <col min="10" max="10" width="14.5" customWidth="1"/>
  </cols>
  <sheetData>
    <row r="1" spans="1:11" x14ac:dyDescent="0.2">
      <c r="A1" t="s">
        <v>179</v>
      </c>
      <c r="B1">
        <v>50</v>
      </c>
    </row>
    <row r="2" spans="1:11" x14ac:dyDescent="0.2">
      <c r="A2" t="s">
        <v>168</v>
      </c>
      <c r="B2">
        <v>65</v>
      </c>
    </row>
    <row r="3" spans="1:11" x14ac:dyDescent="0.2">
      <c r="B3">
        <v>69</v>
      </c>
    </row>
    <row r="4" spans="1:11" x14ac:dyDescent="0.2">
      <c r="A4" t="s">
        <v>178</v>
      </c>
      <c r="B4" s="1">
        <v>75</v>
      </c>
    </row>
    <row r="5" spans="1:11" x14ac:dyDescent="0.2">
      <c r="A5" t="s">
        <v>172</v>
      </c>
      <c r="B5">
        <v>78</v>
      </c>
    </row>
    <row r="7" spans="1:11" x14ac:dyDescent="0.2">
      <c r="C7" t="s">
        <v>183</v>
      </c>
      <c r="D7" t="s">
        <v>181</v>
      </c>
      <c r="E7" t="s">
        <v>180</v>
      </c>
      <c r="F7" t="s">
        <v>55</v>
      </c>
      <c r="G7" t="s">
        <v>39</v>
      </c>
    </row>
    <row r="8" spans="1:11" x14ac:dyDescent="0.2">
      <c r="D8" s="37" t="s">
        <v>173</v>
      </c>
      <c r="E8">
        <v>65</v>
      </c>
      <c r="F8" s="39">
        <v>52</v>
      </c>
      <c r="G8" s="37">
        <v>67</v>
      </c>
    </row>
    <row r="9" spans="1:11" x14ac:dyDescent="0.2">
      <c r="D9" t="s">
        <v>174</v>
      </c>
      <c r="E9">
        <v>51</v>
      </c>
      <c r="F9" s="39">
        <v>59</v>
      </c>
      <c r="G9" s="37">
        <v>59</v>
      </c>
      <c r="H9" s="38"/>
    </row>
    <row r="12" spans="1:11" x14ac:dyDescent="0.2">
      <c r="F12" s="37"/>
    </row>
    <row r="13" spans="1:11" x14ac:dyDescent="0.2">
      <c r="C13" t="s">
        <v>184</v>
      </c>
      <c r="D13" t="s">
        <v>182</v>
      </c>
      <c r="E13" t="s">
        <v>180</v>
      </c>
      <c r="F13" t="s">
        <v>55</v>
      </c>
      <c r="G13" t="s">
        <v>39</v>
      </c>
    </row>
    <row r="14" spans="1:11" x14ac:dyDescent="0.2">
      <c r="D14" s="37" t="s">
        <v>173</v>
      </c>
      <c r="E14">
        <v>49</v>
      </c>
      <c r="F14">
        <v>49</v>
      </c>
      <c r="G14">
        <v>79</v>
      </c>
      <c r="J14" t="s">
        <v>204</v>
      </c>
    </row>
    <row r="15" spans="1:11" x14ac:dyDescent="0.2">
      <c r="D15" t="s">
        <v>174</v>
      </c>
      <c r="E15">
        <v>2013</v>
      </c>
      <c r="F15">
        <v>673</v>
      </c>
      <c r="G15">
        <v>670</v>
      </c>
      <c r="I15" t="s">
        <v>208</v>
      </c>
    </row>
    <row r="16" spans="1:11" x14ac:dyDescent="0.2">
      <c r="I16" t="s">
        <v>217</v>
      </c>
      <c r="J16" t="s">
        <v>210</v>
      </c>
      <c r="K16" t="s">
        <v>205</v>
      </c>
    </row>
    <row r="17" spans="2:11" x14ac:dyDescent="0.2">
      <c r="J17" t="s">
        <v>209</v>
      </c>
      <c r="K17" t="s">
        <v>215</v>
      </c>
    </row>
    <row r="18" spans="2:11" x14ac:dyDescent="0.2">
      <c r="K18" t="s">
        <v>200</v>
      </c>
    </row>
    <row r="19" spans="2:11" x14ac:dyDescent="0.2">
      <c r="K19" t="s">
        <v>218</v>
      </c>
    </row>
    <row r="20" spans="2:11" x14ac:dyDescent="0.2">
      <c r="J20" t="s">
        <v>212</v>
      </c>
      <c r="K20" t="s">
        <v>214</v>
      </c>
    </row>
    <row r="21" spans="2:11" x14ac:dyDescent="0.2">
      <c r="J21" t="s">
        <v>213</v>
      </c>
    </row>
    <row r="22" spans="2:11" x14ac:dyDescent="0.2">
      <c r="B22" t="s">
        <v>190</v>
      </c>
    </row>
    <row r="23" spans="2:11" x14ac:dyDescent="0.2">
      <c r="K23" t="s">
        <v>196</v>
      </c>
    </row>
    <row r="24" spans="2:11" ht="34" x14ac:dyDescent="0.2">
      <c r="B24" s="42" t="s">
        <v>187</v>
      </c>
      <c r="C24" s="43" t="s">
        <v>42</v>
      </c>
      <c r="D24" s="41" t="s">
        <v>182</v>
      </c>
      <c r="E24" s="41" t="s">
        <v>40</v>
      </c>
      <c r="K24" t="s">
        <v>197</v>
      </c>
    </row>
    <row r="25" spans="2:11" ht="51" x14ac:dyDescent="0.2">
      <c r="B25" s="41">
        <v>5</v>
      </c>
      <c r="C25" s="40" t="s">
        <v>185</v>
      </c>
      <c r="D25" s="41"/>
      <c r="E25" s="41" t="s">
        <v>191</v>
      </c>
      <c r="K25" t="s">
        <v>198</v>
      </c>
    </row>
    <row r="26" spans="2:11" ht="34" x14ac:dyDescent="0.2">
      <c r="B26" s="41">
        <v>4</v>
      </c>
      <c r="C26" s="40" t="s">
        <v>186</v>
      </c>
      <c r="D26" s="41"/>
      <c r="E26" s="41" t="s">
        <v>191</v>
      </c>
      <c r="K26" t="s">
        <v>199</v>
      </c>
    </row>
    <row r="27" spans="2:11" x14ac:dyDescent="0.2">
      <c r="B27" s="41">
        <v>3</v>
      </c>
      <c r="C27" s="41" t="s">
        <v>24</v>
      </c>
      <c r="D27" s="41"/>
      <c r="E27" s="41" t="s">
        <v>191</v>
      </c>
      <c r="K27" t="s">
        <v>200</v>
      </c>
    </row>
    <row r="28" spans="2:11" x14ac:dyDescent="0.2">
      <c r="B28" s="41">
        <v>2</v>
      </c>
      <c r="C28" s="41" t="s">
        <v>188</v>
      </c>
      <c r="D28" s="41" t="s">
        <v>191</v>
      </c>
      <c r="E28" s="41"/>
      <c r="K28" t="s">
        <v>201</v>
      </c>
    </row>
    <row r="29" spans="2:11" ht="34" x14ac:dyDescent="0.2">
      <c r="B29" s="41">
        <v>5</v>
      </c>
      <c r="C29" s="40" t="s">
        <v>189</v>
      </c>
      <c r="D29" s="41"/>
      <c r="E29" s="41" t="s">
        <v>191</v>
      </c>
      <c r="K29" t="s">
        <v>202</v>
      </c>
    </row>
    <row r="30" spans="2:11" x14ac:dyDescent="0.2">
      <c r="K30" t="s">
        <v>203</v>
      </c>
    </row>
    <row r="31" spans="2:11" x14ac:dyDescent="0.2">
      <c r="K31" t="s">
        <v>216</v>
      </c>
    </row>
    <row r="32" spans="2:11" x14ac:dyDescent="0.2">
      <c r="B32" s="41" t="s">
        <v>192</v>
      </c>
      <c r="C32" s="41" t="s">
        <v>39</v>
      </c>
      <c r="D32" s="41" t="s">
        <v>193</v>
      </c>
    </row>
    <row r="33" spans="2:11" ht="68" x14ac:dyDescent="0.2">
      <c r="B33" s="40" t="s">
        <v>22</v>
      </c>
      <c r="C33" s="40" t="s">
        <v>189</v>
      </c>
      <c r="D33" s="40" t="s">
        <v>194</v>
      </c>
      <c r="J33" t="s">
        <v>211</v>
      </c>
      <c r="K33" t="s">
        <v>206</v>
      </c>
    </row>
    <row r="34" spans="2:11" ht="34" x14ac:dyDescent="0.2">
      <c r="B34" s="40" t="s">
        <v>186</v>
      </c>
      <c r="K34" t="s">
        <v>196</v>
      </c>
    </row>
    <row r="35" spans="2:11" x14ac:dyDescent="0.2">
      <c r="B35" s="41" t="s">
        <v>24</v>
      </c>
      <c r="K35" t="s">
        <v>197</v>
      </c>
    </row>
    <row r="36" spans="2:11" x14ac:dyDescent="0.2">
      <c r="B36" s="41" t="s">
        <v>188</v>
      </c>
      <c r="K36" t="s">
        <v>198</v>
      </c>
    </row>
    <row r="37" spans="2:11" x14ac:dyDescent="0.2">
      <c r="K37" t="s">
        <v>199</v>
      </c>
    </row>
    <row r="38" spans="2:11" x14ac:dyDescent="0.2">
      <c r="K38" t="s">
        <v>200</v>
      </c>
    </row>
    <row r="39" spans="2:11" x14ac:dyDescent="0.2">
      <c r="K39" t="s">
        <v>201</v>
      </c>
    </row>
    <row r="40" spans="2:11" x14ac:dyDescent="0.2">
      <c r="K40" t="s">
        <v>202</v>
      </c>
    </row>
    <row r="41" spans="2:11" x14ac:dyDescent="0.2">
      <c r="B41" t="s">
        <v>195</v>
      </c>
      <c r="K41" t="s">
        <v>203</v>
      </c>
    </row>
    <row r="42" spans="2:11" x14ac:dyDescent="0.2">
      <c r="B42" t="s">
        <v>196</v>
      </c>
      <c r="K42" t="s">
        <v>216</v>
      </c>
    </row>
    <row r="43" spans="2:11" x14ac:dyDescent="0.2">
      <c r="B43" t="s">
        <v>197</v>
      </c>
    </row>
    <row r="44" spans="2:11" x14ac:dyDescent="0.2">
      <c r="B44" t="s">
        <v>198</v>
      </c>
      <c r="J44" t="s">
        <v>39</v>
      </c>
      <c r="K44" t="s">
        <v>207</v>
      </c>
    </row>
    <row r="45" spans="2:11" x14ac:dyDescent="0.2">
      <c r="B45" t="s">
        <v>199</v>
      </c>
    </row>
    <row r="46" spans="2:11" x14ac:dyDescent="0.2">
      <c r="B46" t="s">
        <v>200</v>
      </c>
    </row>
    <row r="47" spans="2:11" x14ac:dyDescent="0.2">
      <c r="B47" t="s">
        <v>201</v>
      </c>
    </row>
    <row r="48" spans="2:11" x14ac:dyDescent="0.2">
      <c r="B48" t="s">
        <v>202</v>
      </c>
    </row>
    <row r="49" spans="2:2" x14ac:dyDescent="0.2">
      <c r="B49"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Comentarios clave</vt:lpstr>
      <vt:lpstr>Contenido de los nuevos servici</vt:lpstr>
      <vt:lpstr>Encuesta 1Fight Gabor - Granger</vt:lpstr>
      <vt:lpstr>Encuesta 2 kickTrack Gabor</vt:lpstr>
      <vt:lpstr>Encuesta 3  Van Westedorp</vt: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Reyes</dc:creator>
  <cp:lastModifiedBy>Alexander Reyes</cp:lastModifiedBy>
  <dcterms:created xsi:type="dcterms:W3CDTF">2025-06-24T00:27:35Z</dcterms:created>
  <dcterms:modified xsi:type="dcterms:W3CDTF">2025-06-25T20:16:48Z</dcterms:modified>
</cp:coreProperties>
</file>